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5" activeTab="7"/>
  </bookViews>
  <sheets>
    <sheet name="ltas avg" sheetId="4" r:id="rId1"/>
    <sheet name="FDA" sheetId="5" r:id="rId2"/>
    <sheet name="FACULTY AVG PERFORMANCE" sheetId="8" r:id="rId3"/>
    <sheet name="department" sheetId="10" r:id="rId4"/>
    <sheet name="semester" sheetId="11" r:id="rId5"/>
    <sheet name="faculty avg" sheetId="14" r:id="rId6"/>
    <sheet name="FACULTY DISTRIBUTION AVG" sheetId="1" r:id="rId7"/>
    <sheet name="kpis dashboardashboard" sheetId="2" r:id="rId8"/>
    <sheet name="Sheet1" sheetId="12" r:id="rId9"/>
  </sheets>
  <definedNames>
    <definedName name="_xlnm._FilterDatabase" localSheetId="6" hidden="1">'FACULTY DISTRIBUTION AVG'!$S$3:$U$4</definedName>
  </definedNames>
  <calcPr calcId="191029"/>
  <pivotCaches>
    <pivotCache cacheId="0" r:id="rId10"/>
    <pivotCache cacheId="1" r:id="rId11"/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<sst xmlns="http://schemas.openxmlformats.org/spreadsheetml/2006/main" count="233" uniqueCount="95">
  <si>
    <t>Sum of LTAS AVG</t>
  </si>
  <si>
    <t>Faculty name</t>
  </si>
  <si>
    <t>Values</t>
  </si>
  <si>
    <t>BABITHA</t>
  </si>
  <si>
    <t>BHARGAVI</t>
  </si>
  <si>
    <t>HARINI</t>
  </si>
  <si>
    <t>KAVITHA</t>
  </si>
  <si>
    <t>Merlinprinces</t>
  </si>
  <si>
    <t>NEELIMA</t>
  </si>
  <si>
    <t>RAMA</t>
  </si>
  <si>
    <t>SAIPRIYANKA</t>
  </si>
  <si>
    <t>SARITHA</t>
  </si>
  <si>
    <t>Sudha</t>
  </si>
  <si>
    <t>USHA</t>
  </si>
  <si>
    <t>Total Sum of fACUTY AVG</t>
  </si>
  <si>
    <t>Total Sum of LTAS AVG</t>
  </si>
  <si>
    <t>Total Sum of FSTI AVG</t>
  </si>
  <si>
    <t>Total Sum of Column122</t>
  </si>
  <si>
    <t>Sum of fACUTY AVG</t>
  </si>
  <si>
    <t>Sum of FSTI AVG</t>
  </si>
  <si>
    <t>Sum of Column122</t>
  </si>
  <si>
    <t>Grand Total</t>
  </si>
  <si>
    <t>DEPARTMENT</t>
  </si>
  <si>
    <t>COMMERCE</t>
  </si>
  <si>
    <t>MANAGEMENT</t>
  </si>
  <si>
    <t>SCIENCE</t>
  </si>
  <si>
    <t>Semester</t>
  </si>
  <si>
    <t>semester-I</t>
  </si>
  <si>
    <t>semester-II</t>
  </si>
  <si>
    <t>semester-III</t>
  </si>
  <si>
    <t>semester-IV</t>
  </si>
  <si>
    <t>S.NO</t>
  </si>
  <si>
    <t>QUESTION code</t>
  </si>
  <si>
    <t>Specific</t>
  </si>
  <si>
    <t>Specific Subject</t>
  </si>
  <si>
    <t>Question</t>
  </si>
  <si>
    <t>Category</t>
  </si>
  <si>
    <t>Type</t>
  </si>
  <si>
    <t>Dynamic Banding</t>
  </si>
  <si>
    <t>Performance status</t>
  </si>
  <si>
    <t>Hish risk faculty</t>
  </si>
  <si>
    <t>skill improvement</t>
  </si>
  <si>
    <t>fACUTY AVG</t>
  </si>
  <si>
    <t>LTAS AVG</t>
  </si>
  <si>
    <t>FSTI AVG</t>
  </si>
  <si>
    <t>RMFS AVG</t>
  </si>
  <si>
    <t>LTAS[QOAWFLSIG]</t>
  </si>
  <si>
    <t>B.Com</t>
  </si>
  <si>
    <t>ACCOUNTS</t>
  </si>
  <si>
    <t>Assignment work quality is good</t>
  </si>
  <si>
    <t>LTAS</t>
  </si>
  <si>
    <t>POSITIVE</t>
  </si>
  <si>
    <t>FSPI [TTMGUOEAI]</t>
  </si>
  <si>
    <t>Uses examples well</t>
  </si>
  <si>
    <t>FSPI</t>
  </si>
  <si>
    <t>FSPI[LACSOTHTUS]</t>
  </si>
  <si>
    <t>Communication is clear</t>
  </si>
  <si>
    <t>LTAS[TUA/VVAFET]</t>
  </si>
  <si>
    <t>B.Sc</t>
  </si>
  <si>
    <t>PHYSICS</t>
  </si>
  <si>
    <t>Uses audio/visual aids</t>
  </si>
  <si>
    <t>LTAS TTESW]</t>
  </si>
  <si>
    <t>MBA</t>
  </si>
  <si>
    <t>FINANCE</t>
  </si>
  <si>
    <t>Professor explains subject well</t>
  </si>
  <si>
    <t>FSPI [TCIITTS]</t>
  </si>
  <si>
    <t>LCM</t>
  </si>
  <si>
    <t>Class is interactive</t>
  </si>
  <si>
    <t>FSPI [TIPTTC]</t>
  </si>
  <si>
    <t xml:space="preserve"> Professor is punctual</t>
  </si>
  <si>
    <t>FSPI [TTIEAT]</t>
  </si>
  <si>
    <t>MOB</t>
  </si>
  <si>
    <t>Professor is enthusiastic</t>
  </si>
  <si>
    <t>FSPI[TTSKIG]</t>
  </si>
  <si>
    <t>BRM</t>
  </si>
  <si>
    <t>Subject knowledge is good</t>
  </si>
  <si>
    <t>FSPI[TIF&amp;A]</t>
  </si>
  <si>
    <t>STATISTICS</t>
  </si>
  <si>
    <t>Professor is approachable</t>
  </si>
  <si>
    <t>NEGITIVE</t>
  </si>
  <si>
    <t>FSPI [TECAPOACDS]</t>
  </si>
  <si>
    <t>MATHS</t>
  </si>
  <si>
    <t>Encourages creativity</t>
  </si>
  <si>
    <t>Title</t>
  </si>
  <si>
    <t>TITLE</t>
  </si>
  <si>
    <t>Slicer</t>
  </si>
  <si>
    <t>KPIS</t>
  </si>
  <si>
    <r>
      <rPr>
        <sz val="11"/>
        <color rgb="FF000000"/>
        <rFont val="Calibri"/>
        <charset val="134"/>
        <scheme val="minor"/>
      </rPr>
      <t xml:space="preserve">1. </t>
    </r>
    <r>
      <rPr>
        <b/>
        <sz val="11"/>
        <color rgb="FF000000"/>
        <rFont val="Calibri"/>
        <charset val="134"/>
        <scheme val="minor"/>
      </rPr>
      <t>Faculty Performance Score</t>
    </r>
  </si>
  <si>
    <r>
      <rPr>
        <sz val="11"/>
        <color theme="1"/>
        <rFont val="Calibri"/>
        <charset val="134"/>
        <scheme val="minor"/>
      </rPr>
      <t xml:space="preserve">2. </t>
    </r>
    <r>
      <rPr>
        <b/>
        <sz val="11"/>
        <color theme="1"/>
        <rFont val="Calibri"/>
        <charset val="134"/>
        <scheme val="minor"/>
      </rPr>
      <t>Category-Wise Average</t>
    </r>
  </si>
  <si>
    <r>
      <rPr>
        <sz val="11"/>
        <color rgb="FF000000"/>
        <rFont val="Calibri"/>
        <charset val="134"/>
        <scheme val="minor"/>
      </rPr>
      <t xml:space="preserve">3. </t>
    </r>
    <r>
      <rPr>
        <b/>
        <sz val="11"/>
        <color rgb="FF000000"/>
        <rFont val="Calibri"/>
        <charset val="134"/>
        <scheme val="minor"/>
      </rPr>
      <t>Department-Wise Average</t>
    </r>
  </si>
  <si>
    <t>4. Semester-Wise Average</t>
  </si>
  <si>
    <r>
      <rPr>
        <b/>
        <sz val="11"/>
        <color rgb="FF000000"/>
        <rFont val="Calibri"/>
        <charset val="134"/>
        <scheme val="minor"/>
      </rPr>
      <t>5.</t>
    </r>
    <r>
      <rPr>
        <sz val="11"/>
        <color rgb="FF000000"/>
        <rFont val="Calibri"/>
        <charset val="134"/>
        <scheme val="minor"/>
      </rPr>
      <t xml:space="preserve"> </t>
    </r>
    <r>
      <rPr>
        <b/>
        <sz val="11"/>
        <color rgb="FF000000"/>
        <rFont val="Calibri"/>
        <charset val="134"/>
        <scheme val="minor"/>
      </rPr>
      <t>Positive vs Negative Response Ratio</t>
    </r>
  </si>
  <si>
    <r>
      <rPr>
        <b/>
        <sz val="11"/>
        <color rgb="FF000000"/>
        <rFont val="Calibri"/>
        <charset val="134"/>
        <scheme val="minor"/>
      </rPr>
      <t>6</t>
    </r>
    <r>
      <rPr>
        <sz val="11"/>
        <color rgb="FF000000"/>
        <rFont val="Calibri"/>
        <charset val="134"/>
        <scheme val="minor"/>
      </rPr>
      <t xml:space="preserve">. </t>
    </r>
    <r>
      <rPr>
        <b/>
        <sz val="11"/>
        <color rgb="FF000000"/>
        <rFont val="Calibri"/>
        <charset val="134"/>
        <scheme val="minor"/>
      </rPr>
      <t>Top/Bottom Faculty Identification</t>
    </r>
  </si>
  <si>
    <t>7.Consistency Index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</si>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</sst>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7" fillId="2" borderId="1" xfId="0" applyFont="1" applyFill="1" applyBorder="1" applyAlignment="1"/>
    <xf numFmtId="0" fontId="5" fillId="0" borderId="0" xfId="0" applyFont="1" applyFill="1" applyBorder="1" applyAlignment="1">
      <alignment wrapText="1"/>
    </xf>
    <xf numFmtId="0" fontId="7" fillId="2" borderId="2" xfId="0" applyFont="1" applyFill="1" applyBorder="1" applyAlignment="1"/>
    <xf numFmtId="10" fontId="5" fillId="3" borderId="3" xfId="0" applyNumberFormat="1" applyFont="1" applyFill="1" applyBorder="1" applyAlignment="1"/>
    <xf numFmtId="0" fontId="5" fillId="3" borderId="3" xfId="0" applyFont="1" applyFill="1" applyBorder="1" applyAlignment="1"/>
    <xf numFmtId="0" fontId="5" fillId="0" borderId="3" xfId="0" applyFont="1" applyFill="1" applyBorder="1" applyAlignment="1"/>
    <xf numFmtId="10" fontId="5" fillId="0" borderId="3" xfId="0" applyNumberFormat="1" applyFont="1" applyFill="1" applyBorder="1" applyAlignment="1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5" fillId="0" borderId="3" xfId="0" applyNumberFormat="1" applyFont="1" applyFill="1" applyBorder="1" applyAlignment="1">
      <alignment wrapText="1"/>
    </xf>
    <xf numFmtId="0" fontId="5" fillId="0" borderId="3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10" fontId="5" fillId="3" borderId="3" xfId="0" applyNumberFormat="1" applyFont="1" applyFill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1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10" formatCode="0.00%"/>
      <fill>
        <patternFill patternType="none"/>
      </fill>
      <border>
        <left/>
        <right/>
        <top/>
        <bottom style="thin">
          <color rgb="FF9BC2E6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0" formatCode="General"/>
      <fill>
        <patternFill patternType="none"/>
      </fill>
      <border>
        <left/>
        <right/>
        <top/>
        <bottom style="thin">
          <color rgb="FF9BC2E6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0" formatCode="General"/>
      <fill>
        <patternFill patternType="none"/>
      </fill>
      <border>
        <left/>
        <right/>
        <top/>
        <bottom style="thin">
          <color rgb="FF9BC2E6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0" formatCode="General"/>
      <fill>
        <patternFill patternType="none"/>
      </fill>
      <border>
        <left/>
        <right/>
        <top/>
        <bottom style="thin">
          <color rgb="FF9BC2E6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dashbord.xlsx]FDA!PivotTable3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219210526315789"/>
          <c:y val="0.199537037037037"/>
          <c:w val="0.575052631578947"/>
          <c:h val="0.7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FDA!$A$3:$A$5</c:f>
              <c:strCache>
                <c:ptCount val="1"/>
                <c:pt idx="0">
                  <c:v>BABITHA - Sum of fACUTY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FDA!$A$6</c:f>
              <c:numCache>
                <c:formatCode>General</c:formatCode>
                <c:ptCount val="1"/>
                <c:pt idx="0">
                  <c:v>3.36</c:v>
                </c:pt>
              </c:numCache>
            </c:numRef>
          </c:val>
        </c:ser>
        <c:ser>
          <c:idx val="1"/>
          <c:order val="1"/>
          <c:tx>
            <c:strRef>
              <c:f>FDA!$B$3:$B$5</c:f>
              <c:strCache>
                <c:ptCount val="1"/>
                <c:pt idx="0">
                  <c:v>BABITHA - Sum of LTAS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FDA!$B$6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2"/>
          <c:order val="2"/>
          <c:tx>
            <c:strRef>
              <c:f>FDA!$C$3:$C$5</c:f>
              <c:strCache>
                <c:ptCount val="1"/>
                <c:pt idx="0">
                  <c:v>BABITHA - Sum of FSTI AVG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FDA!$C$6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3"/>
          <c:order val="3"/>
          <c:tx>
            <c:strRef>
              <c:f>FDA!$D$3:$D$5</c:f>
              <c:strCache>
                <c:ptCount val="1"/>
                <c:pt idx="0">
                  <c:v>BABITHA - Sum of Column122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FDA!$D$6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FDA!$E$3:$E$5</c:f>
              <c:strCache>
                <c:ptCount val="1"/>
                <c:pt idx="0">
                  <c:v>BHARGAVI - Sum of fACUTY AVG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FDA!$E$6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</c:ser>
        <c:ser>
          <c:idx val="5"/>
          <c:order val="5"/>
          <c:tx>
            <c:strRef>
              <c:f>FDA!$F$3:$F$5</c:f>
              <c:strCache>
                <c:ptCount val="1"/>
                <c:pt idx="0">
                  <c:v>BHARGAVI - Sum of LTAS AVG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FDA!$F$6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6"/>
          <c:order val="6"/>
          <c:tx>
            <c:strRef>
              <c:f>FDA!$G$3:$G$5</c:f>
              <c:strCache>
                <c:ptCount val="1"/>
                <c:pt idx="0">
                  <c:v>BHARGAVI - Sum of FSTI AVG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FDA!$G$6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7"/>
          <c:order val="7"/>
          <c:tx>
            <c:strRef>
              <c:f>FDA!$H$3:$H$5</c:f>
              <c:strCache>
                <c:ptCount val="1"/>
                <c:pt idx="0">
                  <c:v>BHARGAVI - Sum of Column122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FDA!$H$6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8"/>
          <c:order val="8"/>
          <c:tx>
            <c:strRef>
              <c:f>FDA!$I$3:$I$5</c:f>
              <c:strCache>
                <c:ptCount val="1"/>
                <c:pt idx="0">
                  <c:v>HARINI - Sum of fACUTY AVG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FDA!$I$6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</c:ser>
        <c:ser>
          <c:idx val="9"/>
          <c:order val="9"/>
          <c:tx>
            <c:strRef>
              <c:f>FDA!$J$3:$J$5</c:f>
              <c:strCache>
                <c:ptCount val="1"/>
                <c:pt idx="0">
                  <c:v>HARINI - Sum of LTAS AVG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FDA!$J$6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</c:ser>
        <c:ser>
          <c:idx val="10"/>
          <c:order val="10"/>
          <c:tx>
            <c:strRef>
              <c:f>FDA!$K$3:$K$5</c:f>
              <c:strCache>
                <c:ptCount val="1"/>
                <c:pt idx="0">
                  <c:v>HARINI - Sum of FSTI AVG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FDA!$K$6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11"/>
          <c:order val="11"/>
          <c:tx>
            <c:strRef>
              <c:f>FDA!$L$3:$L$5</c:f>
              <c:strCache>
                <c:ptCount val="1"/>
                <c:pt idx="0">
                  <c:v>HARINI - Sum of Column122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FDA!$L$6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2"/>
          <c:order val="12"/>
          <c:tx>
            <c:strRef>
              <c:f>FDA!$M$3:$M$5</c:f>
              <c:strCache>
                <c:ptCount val="1"/>
                <c:pt idx="0">
                  <c:v>KAVITHA - Sum of fACUTY AVG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FDA!$M$6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13"/>
          <c:order val="13"/>
          <c:tx>
            <c:strRef>
              <c:f>FDA!$N$3:$N$5</c:f>
              <c:strCache>
                <c:ptCount val="1"/>
                <c:pt idx="0">
                  <c:v>KAVITHA - Sum of LTAS AVG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FDA!$N$6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</c:ser>
        <c:ser>
          <c:idx val="14"/>
          <c:order val="14"/>
          <c:tx>
            <c:strRef>
              <c:f>FDA!$O$3:$O$5</c:f>
              <c:strCache>
                <c:ptCount val="1"/>
                <c:pt idx="0">
                  <c:v>KAVITHA - Sum of FSTI AVG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FDA!$O$6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5"/>
          <c:order val="15"/>
          <c:tx>
            <c:strRef>
              <c:f>FDA!$P$3:$P$5</c:f>
              <c:strCache>
                <c:ptCount val="1"/>
                <c:pt idx="0">
                  <c:v>KAVITHA - Sum of Column122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FDA!$P$6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6"/>
          <c:order val="16"/>
          <c:tx>
            <c:strRef>
              <c:f>FDA!$Q$3:$Q$5</c:f>
              <c:strCache>
                <c:ptCount val="1"/>
                <c:pt idx="0">
                  <c:v>Merlinprinces - Sum of fACUTY AVG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FDA!$Q$6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7"/>
          <c:order val="17"/>
          <c:tx>
            <c:strRef>
              <c:f>FDA!$R$3:$R$5</c:f>
              <c:strCache>
                <c:ptCount val="1"/>
                <c:pt idx="0">
                  <c:v>Merlinprinces - Sum of LTAS AVG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FDA!$R$6</c:f>
              <c:numCache>
                <c:formatCode>General</c:formatCode>
                <c:ptCount val="1"/>
                <c:pt idx="0">
                  <c:v>4.25</c:v>
                </c:pt>
              </c:numCache>
            </c:numRef>
          </c:val>
        </c:ser>
        <c:ser>
          <c:idx val="18"/>
          <c:order val="18"/>
          <c:tx>
            <c:strRef>
              <c:f>FDA!$S$3:$S$5</c:f>
              <c:strCache>
                <c:ptCount val="1"/>
                <c:pt idx="0">
                  <c:v>Merlinprinces - Sum of FSTI AVG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FDA!$S$6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9"/>
          <c:order val="19"/>
          <c:tx>
            <c:strRef>
              <c:f>FDA!$T$3:$T$5</c:f>
              <c:strCache>
                <c:ptCount val="1"/>
                <c:pt idx="0">
                  <c:v>Merlinprinces - Sum of Column122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FDA!$T$6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20"/>
          <c:order val="20"/>
          <c:tx>
            <c:strRef>
              <c:f>FDA!$U$3:$U$5</c:f>
              <c:strCache>
                <c:ptCount val="1"/>
                <c:pt idx="0">
                  <c:v>NEELIMA - Sum of fACUTY AVG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FDA!$U$6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21"/>
          <c:order val="21"/>
          <c:tx>
            <c:strRef>
              <c:f>FDA!$V$3:$V$5</c:f>
              <c:strCache>
                <c:ptCount val="1"/>
                <c:pt idx="0">
                  <c:v>NEELIMA - Sum of LTAS AVG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FDA!$V$6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22"/>
          <c:order val="22"/>
          <c:tx>
            <c:strRef>
              <c:f>FDA!$W$3:$W$5</c:f>
              <c:strCache>
                <c:ptCount val="1"/>
                <c:pt idx="0">
                  <c:v>NEELIMA - Sum of FSTI AVG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FDA!$W$6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23"/>
          <c:order val="23"/>
          <c:tx>
            <c:strRef>
              <c:f>FDA!$X$3:$X$5</c:f>
              <c:strCache>
                <c:ptCount val="1"/>
                <c:pt idx="0">
                  <c:v>NEELIMA - Sum of Column122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FDA!$X$6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24"/>
          <c:order val="24"/>
          <c:tx>
            <c:strRef>
              <c:f>FDA!$Y$3:$Y$5</c:f>
              <c:strCache>
                <c:ptCount val="1"/>
                <c:pt idx="0">
                  <c:v>RAMA - Sum of fACUTY AVG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FDA!$Y$6</c:f>
              <c:numCache>
                <c:formatCode>General</c:formatCode>
                <c:ptCount val="1"/>
                <c:pt idx="0">
                  <c:v>3.38</c:v>
                </c:pt>
              </c:numCache>
            </c:numRef>
          </c:val>
        </c:ser>
        <c:ser>
          <c:idx val="25"/>
          <c:order val="25"/>
          <c:tx>
            <c:strRef>
              <c:f>FDA!$Z$3:$Z$5</c:f>
              <c:strCache>
                <c:ptCount val="1"/>
                <c:pt idx="0">
                  <c:v>RAMA - Sum of LTAS AVG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FDA!$Z$6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</c:ser>
        <c:ser>
          <c:idx val="26"/>
          <c:order val="26"/>
          <c:tx>
            <c:strRef>
              <c:f>FDA!$AA$3:$AA$5</c:f>
              <c:strCache>
                <c:ptCount val="1"/>
                <c:pt idx="0">
                  <c:v>RAMA - Sum of FSTI AVG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FDA!$AA$6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27"/>
          <c:order val="27"/>
          <c:tx>
            <c:strRef>
              <c:f>FDA!$AB$3:$AB$5</c:f>
              <c:strCache>
                <c:ptCount val="1"/>
                <c:pt idx="0">
                  <c:v>RAMA - Sum of Column122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FDA!$AB$6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28"/>
          <c:order val="28"/>
          <c:tx>
            <c:strRef>
              <c:f>FDA!$AC$3:$AC$5</c:f>
              <c:strCache>
                <c:ptCount val="1"/>
                <c:pt idx="0">
                  <c:v>SAIPRIYANKA - Sum of fACUTY AVG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FDA!$AC$6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</c:ser>
        <c:ser>
          <c:idx val="29"/>
          <c:order val="29"/>
          <c:tx>
            <c:strRef>
              <c:f>FDA!$AD$3:$AD$5</c:f>
              <c:strCache>
                <c:ptCount val="1"/>
                <c:pt idx="0">
                  <c:v>SAIPRIYANKA - Sum of LTAS AVG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FDA!$AD$6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30"/>
          <c:order val="30"/>
          <c:tx>
            <c:strRef>
              <c:f>FDA!$AE$3:$AE$5</c:f>
              <c:strCache>
                <c:ptCount val="1"/>
                <c:pt idx="0">
                  <c:v>SAIPRIYANKA - Sum of FSTI AVG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FDA!$AE$6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31"/>
          <c:order val="31"/>
          <c:tx>
            <c:strRef>
              <c:f>FDA!$AF$3:$AF$5</c:f>
              <c:strCache>
                <c:ptCount val="1"/>
                <c:pt idx="0">
                  <c:v>SAIPRIYANKA - Sum of Column122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FDA!$AF$6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32"/>
          <c:order val="32"/>
          <c:tx>
            <c:strRef>
              <c:f>FDA!$AG$3:$AG$5</c:f>
              <c:strCache>
                <c:ptCount val="1"/>
                <c:pt idx="0">
                  <c:v>SARITHA - Sum of fACUTY AVG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FDA!$AG$6</c:f>
              <c:numCache>
                <c:formatCode>General</c:formatCode>
                <c:ptCount val="1"/>
                <c:pt idx="0">
                  <c:v>3.39</c:v>
                </c:pt>
              </c:numCache>
            </c:numRef>
          </c:val>
        </c:ser>
        <c:ser>
          <c:idx val="33"/>
          <c:order val="33"/>
          <c:tx>
            <c:strRef>
              <c:f>FDA!$AH$3:$AH$5</c:f>
              <c:strCache>
                <c:ptCount val="1"/>
                <c:pt idx="0">
                  <c:v>SARITHA - Sum of LTAS AVG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FDA!$AH$6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34"/>
          <c:order val="34"/>
          <c:tx>
            <c:strRef>
              <c:f>FDA!$AI$3:$AI$5</c:f>
              <c:strCache>
                <c:ptCount val="1"/>
                <c:pt idx="0">
                  <c:v>SARITHA - Sum of FSTI AVG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FDA!$AI$6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35"/>
          <c:order val="35"/>
          <c:tx>
            <c:strRef>
              <c:f>FDA!$AJ$3:$AJ$5</c:f>
              <c:strCache>
                <c:ptCount val="1"/>
                <c:pt idx="0">
                  <c:v>SARITHA - Sum of Column122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FDA!$AJ$6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36"/>
          <c:order val="36"/>
          <c:tx>
            <c:strRef>
              <c:f>FDA!$AK$3:$AK$5</c:f>
              <c:strCache>
                <c:ptCount val="1"/>
                <c:pt idx="0">
                  <c:v>Sudha - Sum of fACUTY AVG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FDA!$AK$6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</c:ser>
        <c:ser>
          <c:idx val="37"/>
          <c:order val="37"/>
          <c:tx>
            <c:strRef>
              <c:f>FDA!$AL$3:$AL$5</c:f>
              <c:strCache>
                <c:ptCount val="1"/>
                <c:pt idx="0">
                  <c:v>Sudha - Sum of LTAS AVG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FDA!$AL$6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38"/>
          <c:order val="38"/>
          <c:tx>
            <c:strRef>
              <c:f>FDA!$AM$3:$AM$5</c:f>
              <c:strCache>
                <c:ptCount val="1"/>
                <c:pt idx="0">
                  <c:v>Sudha - Sum of FSTI AVG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FDA!$AM$6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39"/>
          <c:order val="39"/>
          <c:tx>
            <c:strRef>
              <c:f>FDA!$AN$3:$AN$5</c:f>
              <c:strCache>
                <c:ptCount val="1"/>
                <c:pt idx="0">
                  <c:v>Sudha - Sum of Column122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FDA!$AN$6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40"/>
          <c:order val="40"/>
          <c:tx>
            <c:strRef>
              <c:f>FDA!$AO$3:$AO$5</c:f>
              <c:strCache>
                <c:ptCount val="1"/>
                <c:pt idx="0">
                  <c:v>USHA - Sum of fACUTY AVG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FDA!$AO$6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</c:ser>
        <c:ser>
          <c:idx val="41"/>
          <c:order val="41"/>
          <c:tx>
            <c:strRef>
              <c:f>FDA!$AP$3:$AP$5</c:f>
              <c:strCache>
                <c:ptCount val="1"/>
                <c:pt idx="0">
                  <c:v>USHA - Sum of LTAS AVG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FDA!$AP$6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</c:ser>
        <c:ser>
          <c:idx val="42"/>
          <c:order val="42"/>
          <c:tx>
            <c:strRef>
              <c:f>FDA!$AQ$3:$AQ$5</c:f>
              <c:strCache>
                <c:ptCount val="1"/>
                <c:pt idx="0">
                  <c:v>USHA - Sum of FSTI AVG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FDA!$AQ$6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43"/>
          <c:order val="43"/>
          <c:tx>
            <c:strRef>
              <c:f>FDA!$AR$3:$AR$5</c:f>
              <c:strCache>
                <c:ptCount val="1"/>
                <c:pt idx="0">
                  <c:v>USHA - Sum of Column122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FDA!$A$6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FDA!$AR$6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131988"/>
        <c:axId val="652600212"/>
      </c:barChart>
      <c:catAx>
        <c:axId val="4691319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600212"/>
        <c:crosses val="autoZero"/>
        <c:auto val="1"/>
        <c:lblAlgn val="ctr"/>
        <c:lblOffset val="100"/>
        <c:noMultiLvlLbl val="0"/>
      </c:catAx>
      <c:valAx>
        <c:axId val="6526002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1319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0c03f7-f125-4cc8-9999-cf8012d571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dashbord.xlsx]FACULTY AVG PERFORMANCE!PivotTable7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AVG PERFORMANCE'!$B$3:$B$4</c:f>
              <c:strCache>
                <c:ptCount val="1"/>
                <c:pt idx="0">
                  <c:v>BABITHA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PERFORMANCE'!$B$5</c:f>
              <c:numCache>
                <c:formatCode>General</c:formatCode>
                <c:ptCount val="1"/>
                <c:pt idx="0">
                  <c:v>3.36</c:v>
                </c:pt>
              </c:numCache>
            </c:numRef>
          </c:val>
        </c:ser>
        <c:ser>
          <c:idx val="1"/>
          <c:order val="1"/>
          <c:tx>
            <c:strRef>
              <c:f>'FACULTY AVG PERFORMANCE'!$C$3:$C$4</c:f>
              <c:strCache>
                <c:ptCount val="1"/>
                <c:pt idx="0">
                  <c:v>BHARGAVI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PERFORMANCE'!$C$5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</c:ser>
        <c:ser>
          <c:idx val="2"/>
          <c:order val="2"/>
          <c:tx>
            <c:strRef>
              <c:f>'FACULTY AVG PERFORMANCE'!$D$3:$D$4</c:f>
              <c:strCache>
                <c:ptCount val="1"/>
                <c:pt idx="0">
                  <c:v>HARINI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PERFORMANCE'!$D$5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</c:ser>
        <c:ser>
          <c:idx val="3"/>
          <c:order val="3"/>
          <c:tx>
            <c:strRef>
              <c:f>'FACULTY AVG PERFORMANCE'!$E$3:$E$4</c:f>
              <c:strCache>
                <c:ptCount val="1"/>
                <c:pt idx="0">
                  <c:v>KAVITHA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PERFORMANCE'!$E$5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4"/>
          <c:order val="4"/>
          <c:tx>
            <c:strRef>
              <c:f>'FACULTY AVG PERFORMANCE'!$F$3:$F$4</c:f>
              <c:strCache>
                <c:ptCount val="1"/>
                <c:pt idx="0">
                  <c:v>Merlinprinces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PERFORMANCE'!$F$5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5"/>
          <c:order val="5"/>
          <c:tx>
            <c:strRef>
              <c:f>'FACULTY AVG PERFORMANCE'!$G$3:$G$4</c:f>
              <c:strCache>
                <c:ptCount val="1"/>
                <c:pt idx="0">
                  <c:v>NEELIMA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PERFORMANCE'!$G$5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6"/>
          <c:order val="6"/>
          <c:tx>
            <c:strRef>
              <c:f>'FACULTY AVG PERFORMANCE'!$H$3:$H$4</c:f>
              <c:strCache>
                <c:ptCount val="1"/>
                <c:pt idx="0">
                  <c:v>RAMA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PERFORMANCE'!$H$5</c:f>
              <c:numCache>
                <c:formatCode>General</c:formatCode>
                <c:ptCount val="1"/>
                <c:pt idx="0">
                  <c:v>3.38</c:v>
                </c:pt>
              </c:numCache>
            </c:numRef>
          </c:val>
        </c:ser>
        <c:ser>
          <c:idx val="7"/>
          <c:order val="7"/>
          <c:tx>
            <c:strRef>
              <c:f>'FACULTY AVG PERFORMANCE'!$I$3:$I$4</c:f>
              <c:strCache>
                <c:ptCount val="1"/>
                <c:pt idx="0">
                  <c:v>SAIPRIYANKA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PERFORMANCE'!$I$5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</c:ser>
        <c:ser>
          <c:idx val="8"/>
          <c:order val="8"/>
          <c:tx>
            <c:strRef>
              <c:f>'FACULTY AVG PERFORMANCE'!$J$3:$J$4</c:f>
              <c:strCache>
                <c:ptCount val="1"/>
                <c:pt idx="0">
                  <c:v>SARITHA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PERFORMANCE'!$J$5</c:f>
              <c:numCache>
                <c:formatCode>General</c:formatCode>
                <c:ptCount val="1"/>
                <c:pt idx="0">
                  <c:v>3.39</c:v>
                </c:pt>
              </c:numCache>
            </c:numRef>
          </c:val>
        </c:ser>
        <c:ser>
          <c:idx val="9"/>
          <c:order val="9"/>
          <c:tx>
            <c:strRef>
              <c:f>'FACULTY AVG PERFORMANCE'!$K$3:$K$4</c:f>
              <c:strCache>
                <c:ptCount val="1"/>
                <c:pt idx="0">
                  <c:v>Sudha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PERFORMANCE'!$K$5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</c:ser>
        <c:ser>
          <c:idx val="10"/>
          <c:order val="10"/>
          <c:tx>
            <c:strRef>
              <c:f>'FACULTY AVG PERFORMANCE'!$L$3:$L$4</c:f>
              <c:strCache>
                <c:ptCount val="1"/>
                <c:pt idx="0">
                  <c:v>USHA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PERFORMANCE'!$L$5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55259064"/>
        <c:axId val="181834025"/>
      </c:barChart>
      <c:catAx>
        <c:axId val="955259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834025"/>
        <c:crosses val="autoZero"/>
        <c:auto val="1"/>
        <c:lblAlgn val="ctr"/>
        <c:lblOffset val="100"/>
        <c:noMultiLvlLbl val="0"/>
      </c:catAx>
      <c:valAx>
        <c:axId val="1818340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25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91eff8-a9fb-45eb-83b9-2ea0ffbbd6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dashbord.xlsx]department!PivotTable8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department!$B$3:$B$4</c:f>
              <c:strCache>
                <c:ptCount val="1"/>
                <c:pt idx="0">
                  <c:v>COMMERCE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department!$B$5</c:f>
              <c:numCache>
                <c:formatCode>General</c:formatCode>
                <c:ptCount val="1"/>
                <c:pt idx="0">
                  <c:v>13.85</c:v>
                </c:pt>
              </c:numCache>
            </c:numRef>
          </c:val>
        </c:ser>
        <c:ser>
          <c:idx val="1"/>
          <c:order val="1"/>
          <c:tx>
            <c:strRef>
              <c:f>department!$C$3:$C$4</c:f>
              <c:strCache>
                <c:ptCount val="1"/>
                <c:pt idx="0">
                  <c:v>MANAGEMENT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department!$C$5</c:f>
              <c:numCache>
                <c:formatCode>General</c:formatCode>
                <c:ptCount val="1"/>
                <c:pt idx="0">
                  <c:v>16.03</c:v>
                </c:pt>
              </c:numCache>
            </c:numRef>
          </c:val>
        </c:ser>
        <c:ser>
          <c:idx val="2"/>
          <c:order val="2"/>
          <c:tx>
            <c:strRef>
              <c:f>department!$D$3:$D$4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department!$D$5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11191418"/>
        <c:axId val="374151350"/>
      </c:barChart>
      <c:catAx>
        <c:axId val="2111914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151350"/>
        <c:crosses val="autoZero"/>
        <c:auto val="1"/>
        <c:lblAlgn val="ctr"/>
        <c:lblOffset val="100"/>
        <c:noMultiLvlLbl val="0"/>
      </c:catAx>
      <c:valAx>
        <c:axId val="3741513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1914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127662-a909-4145-9a91-b450361134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dashbord.xlsx]semester!PivotTable9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semester!$B$3:$B$4</c:f>
              <c:strCache>
                <c:ptCount val="1"/>
                <c:pt idx="0">
                  <c:v>semester-I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semester!$B$5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semester!$B$5</c:f>
              <c:numCache>
                <c:formatCode>General</c:formatCode>
                <c:ptCount val="1"/>
                <c:pt idx="0">
                  <c:v>10.96</c:v>
                </c:pt>
              </c:numCache>
            </c:numRef>
          </c:val>
        </c:ser>
        <c:ser>
          <c:idx val="1"/>
          <c:order val="1"/>
          <c:tx>
            <c:strRef>
              <c:f>semester!$C$3:$C$4</c:f>
              <c:strCache>
                <c:ptCount val="1"/>
                <c:pt idx="0">
                  <c:v>semester-II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semester!$B$5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semester!$C$5</c:f>
              <c:numCache>
                <c:formatCode>General</c:formatCode>
                <c:ptCount val="1"/>
                <c:pt idx="0">
                  <c:v>8.75</c:v>
                </c:pt>
              </c:numCache>
            </c:numRef>
          </c:val>
        </c:ser>
        <c:ser>
          <c:idx val="2"/>
          <c:order val="2"/>
          <c:tx>
            <c:strRef>
              <c:f>semester!$D$3:$D$4</c:f>
              <c:strCache>
                <c:ptCount val="1"/>
                <c:pt idx="0">
                  <c:v>semester-III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semester!$B$5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semester!$D$5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</c:ser>
        <c:ser>
          <c:idx val="3"/>
          <c:order val="3"/>
          <c:tx>
            <c:strRef>
              <c:f>semester!$E$3:$E$4</c:f>
              <c:strCache>
                <c:ptCount val="1"/>
                <c:pt idx="0">
                  <c:v>semester-IV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semester!$B$5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semester!$E$5</c:f>
              <c:numCache>
                <c:formatCode>General</c:formatCode>
                <c:ptCount val="1"/>
                <c:pt idx="0">
                  <c:v>10.07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55137961"/>
        <c:axId val="483456984"/>
      </c:barChart>
      <c:catAx>
        <c:axId val="2551379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56984"/>
        <c:crosses val="autoZero"/>
        <c:auto val="1"/>
        <c:lblAlgn val="ctr"/>
        <c:lblOffset val="100"/>
        <c:noMultiLvlLbl val="0"/>
      </c:catAx>
      <c:valAx>
        <c:axId val="48345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1379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aca77f-83ba-4d68-ac79-0434e2d2bc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dashbord.xlsx]faculty avg!PivotTable2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avg'!$B$3:$B$4</c:f>
              <c:strCache>
                <c:ptCount val="1"/>
                <c:pt idx="0">
                  <c:v>BABITHA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avg'!$B$5</c:f>
              <c:numCache>
                <c:formatCode>General</c:formatCode>
                <c:ptCount val="1"/>
                <c:pt idx="0">
                  <c:v>3.36</c:v>
                </c:pt>
              </c:numCache>
            </c:numRef>
          </c:val>
        </c:ser>
        <c:ser>
          <c:idx val="1"/>
          <c:order val="1"/>
          <c:tx>
            <c:strRef>
              <c:f>'faculty avg'!$C$3:$C$4</c:f>
              <c:strCache>
                <c:ptCount val="1"/>
                <c:pt idx="0">
                  <c:v>BHARGAVI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avg'!$C$5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</c:ser>
        <c:ser>
          <c:idx val="2"/>
          <c:order val="2"/>
          <c:tx>
            <c:strRef>
              <c:f>'faculty avg'!$D$3:$D$4</c:f>
              <c:strCache>
                <c:ptCount val="1"/>
                <c:pt idx="0">
                  <c:v>HARINI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avg'!$D$5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</c:ser>
        <c:ser>
          <c:idx val="3"/>
          <c:order val="3"/>
          <c:tx>
            <c:strRef>
              <c:f>'faculty avg'!$E$3:$E$4</c:f>
              <c:strCache>
                <c:ptCount val="1"/>
                <c:pt idx="0">
                  <c:v>KAVITHA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avg'!$E$5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4"/>
          <c:order val="4"/>
          <c:tx>
            <c:strRef>
              <c:f>'faculty avg'!$F$3:$F$4</c:f>
              <c:strCache>
                <c:ptCount val="1"/>
                <c:pt idx="0">
                  <c:v>Merlinprinces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avg'!$F$5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5"/>
          <c:order val="5"/>
          <c:tx>
            <c:strRef>
              <c:f>'faculty avg'!$G$3:$G$4</c:f>
              <c:strCache>
                <c:ptCount val="1"/>
                <c:pt idx="0">
                  <c:v>NEELIMA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avg'!$G$5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6"/>
          <c:order val="6"/>
          <c:tx>
            <c:strRef>
              <c:f>'faculty avg'!$H$3:$H$4</c:f>
              <c:strCache>
                <c:ptCount val="1"/>
                <c:pt idx="0">
                  <c:v>RAMA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avg'!$H$5</c:f>
              <c:numCache>
                <c:formatCode>General</c:formatCode>
                <c:ptCount val="1"/>
                <c:pt idx="0">
                  <c:v>3.38</c:v>
                </c:pt>
              </c:numCache>
            </c:numRef>
          </c:val>
        </c:ser>
        <c:ser>
          <c:idx val="7"/>
          <c:order val="7"/>
          <c:tx>
            <c:strRef>
              <c:f>'faculty avg'!$I$3:$I$4</c:f>
              <c:strCache>
                <c:ptCount val="1"/>
                <c:pt idx="0">
                  <c:v>SAIPRIYANKA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avg'!$I$5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</c:ser>
        <c:ser>
          <c:idx val="8"/>
          <c:order val="8"/>
          <c:tx>
            <c:strRef>
              <c:f>'faculty avg'!$J$3:$J$4</c:f>
              <c:strCache>
                <c:ptCount val="1"/>
                <c:pt idx="0">
                  <c:v>SARITHA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avg'!$J$5</c:f>
              <c:numCache>
                <c:formatCode>General</c:formatCode>
                <c:ptCount val="1"/>
                <c:pt idx="0">
                  <c:v>3.39</c:v>
                </c:pt>
              </c:numCache>
            </c:numRef>
          </c:val>
        </c:ser>
        <c:ser>
          <c:idx val="9"/>
          <c:order val="9"/>
          <c:tx>
            <c:strRef>
              <c:f>'faculty avg'!$K$3:$K$4</c:f>
              <c:strCache>
                <c:ptCount val="1"/>
                <c:pt idx="0">
                  <c:v>Sudha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avg'!$K$5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</c:ser>
        <c:ser>
          <c:idx val="10"/>
          <c:order val="10"/>
          <c:tx>
            <c:strRef>
              <c:f>'faculty avg'!$L$3:$L$4</c:f>
              <c:strCache>
                <c:ptCount val="1"/>
                <c:pt idx="0">
                  <c:v>USHA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avg'!$L$5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7840876"/>
        <c:axId val="175155924"/>
      </c:barChart>
      <c:catAx>
        <c:axId val="678408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155924"/>
        <c:crosses val="autoZero"/>
        <c:auto val="1"/>
        <c:lblAlgn val="ctr"/>
        <c:lblOffset val="100"/>
        <c:noMultiLvlLbl val="0"/>
      </c:catAx>
      <c:valAx>
        <c:axId val="1751559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408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82f179-e3b5-4654-bc91-80c3ebc21c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dashbord.xlsx]FACULTY AVG PERFORMANCE!PivotTable7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faculty performance score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AVG PERFORMANCE'!$B$3:$B$4</c:f>
              <c:strCache>
                <c:ptCount val="1"/>
                <c:pt idx="0">
                  <c:v>BABITHA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PERFORMANCE'!$B$5</c:f>
              <c:numCache>
                <c:formatCode>General</c:formatCode>
                <c:ptCount val="1"/>
                <c:pt idx="0">
                  <c:v>3.36</c:v>
                </c:pt>
              </c:numCache>
            </c:numRef>
          </c:val>
        </c:ser>
        <c:ser>
          <c:idx val="1"/>
          <c:order val="1"/>
          <c:tx>
            <c:strRef>
              <c:f>'FACULTY AVG PERFORMANCE'!$C$3:$C$4</c:f>
              <c:strCache>
                <c:ptCount val="1"/>
                <c:pt idx="0">
                  <c:v>BHARGAVI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PERFORMANCE'!$C$5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</c:ser>
        <c:ser>
          <c:idx val="2"/>
          <c:order val="2"/>
          <c:tx>
            <c:strRef>
              <c:f>'FACULTY AVG PERFORMANCE'!$D$3:$D$4</c:f>
              <c:strCache>
                <c:ptCount val="1"/>
                <c:pt idx="0">
                  <c:v>HARINI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PERFORMANCE'!$D$5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</c:ser>
        <c:ser>
          <c:idx val="3"/>
          <c:order val="3"/>
          <c:tx>
            <c:strRef>
              <c:f>'FACULTY AVG PERFORMANCE'!$E$3:$E$4</c:f>
              <c:strCache>
                <c:ptCount val="1"/>
                <c:pt idx="0">
                  <c:v>KAVITHA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PERFORMANCE'!$E$5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4"/>
          <c:order val="4"/>
          <c:tx>
            <c:strRef>
              <c:f>'FACULTY AVG PERFORMANCE'!$F$3:$F$4</c:f>
              <c:strCache>
                <c:ptCount val="1"/>
                <c:pt idx="0">
                  <c:v>Merlinprinces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PERFORMANCE'!$F$5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5"/>
          <c:order val="5"/>
          <c:tx>
            <c:strRef>
              <c:f>'FACULTY AVG PERFORMANCE'!$G$3:$G$4</c:f>
              <c:strCache>
                <c:ptCount val="1"/>
                <c:pt idx="0">
                  <c:v>NEELIMA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PERFORMANCE'!$G$5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6"/>
          <c:order val="6"/>
          <c:tx>
            <c:strRef>
              <c:f>'FACULTY AVG PERFORMANCE'!$H$3:$H$4</c:f>
              <c:strCache>
                <c:ptCount val="1"/>
                <c:pt idx="0">
                  <c:v>RAMA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PERFORMANCE'!$H$5</c:f>
              <c:numCache>
                <c:formatCode>General</c:formatCode>
                <c:ptCount val="1"/>
                <c:pt idx="0">
                  <c:v>3.38</c:v>
                </c:pt>
              </c:numCache>
            </c:numRef>
          </c:val>
        </c:ser>
        <c:ser>
          <c:idx val="7"/>
          <c:order val="7"/>
          <c:tx>
            <c:strRef>
              <c:f>'FACULTY AVG PERFORMANCE'!$I$3:$I$4</c:f>
              <c:strCache>
                <c:ptCount val="1"/>
                <c:pt idx="0">
                  <c:v>SAIPRIYANKA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PERFORMANCE'!$I$5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</c:ser>
        <c:ser>
          <c:idx val="8"/>
          <c:order val="8"/>
          <c:tx>
            <c:strRef>
              <c:f>'FACULTY AVG PERFORMANCE'!$J$3:$J$4</c:f>
              <c:strCache>
                <c:ptCount val="1"/>
                <c:pt idx="0">
                  <c:v>SARITHA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PERFORMANCE'!$J$5</c:f>
              <c:numCache>
                <c:formatCode>General</c:formatCode>
                <c:ptCount val="1"/>
                <c:pt idx="0">
                  <c:v>3.39</c:v>
                </c:pt>
              </c:numCache>
            </c:numRef>
          </c:val>
        </c:ser>
        <c:ser>
          <c:idx val="9"/>
          <c:order val="9"/>
          <c:tx>
            <c:strRef>
              <c:f>'FACULTY AVG PERFORMANCE'!$K$3:$K$4</c:f>
              <c:strCache>
                <c:ptCount val="1"/>
                <c:pt idx="0">
                  <c:v>Sudha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PERFORMANCE'!$K$5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</c:ser>
        <c:ser>
          <c:idx val="10"/>
          <c:order val="10"/>
          <c:tx>
            <c:strRef>
              <c:f>'FACULTY AVG PERFORMANCE'!$L$3:$L$4</c:f>
              <c:strCache>
                <c:ptCount val="1"/>
                <c:pt idx="0">
                  <c:v>USHA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 PERFORMANCE'!$B$5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 PERFORMANCE'!$L$5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55259064"/>
        <c:axId val="181834025"/>
      </c:barChart>
      <c:catAx>
        <c:axId val="955259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834025"/>
        <c:crosses val="autoZero"/>
        <c:auto val="1"/>
        <c:lblAlgn val="ctr"/>
        <c:lblOffset val="100"/>
        <c:noMultiLvlLbl val="0"/>
      </c:catAx>
      <c:valAx>
        <c:axId val="1818340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25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486421-08d5-4075-b305-e6eb1ab930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dashbord.xlsx]department!PivotTable8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department wise score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department!$B$3:$B$4</c:f>
              <c:strCache>
                <c:ptCount val="1"/>
                <c:pt idx="0">
                  <c:v>COMMERCE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department!$B$5</c:f>
              <c:numCache>
                <c:formatCode>General</c:formatCode>
                <c:ptCount val="1"/>
                <c:pt idx="0">
                  <c:v>13.85</c:v>
                </c:pt>
              </c:numCache>
            </c:numRef>
          </c:val>
        </c:ser>
        <c:ser>
          <c:idx val="1"/>
          <c:order val="1"/>
          <c:tx>
            <c:strRef>
              <c:f>department!$C$3:$C$4</c:f>
              <c:strCache>
                <c:ptCount val="1"/>
                <c:pt idx="0">
                  <c:v>MANAGEMENT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department!$C$5</c:f>
              <c:numCache>
                <c:formatCode>General</c:formatCode>
                <c:ptCount val="1"/>
                <c:pt idx="0">
                  <c:v>16.03</c:v>
                </c:pt>
              </c:numCache>
            </c:numRef>
          </c:val>
        </c:ser>
        <c:ser>
          <c:idx val="2"/>
          <c:order val="2"/>
          <c:tx>
            <c:strRef>
              <c:f>department!$D$3:$D$4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department!$D$5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11191418"/>
        <c:axId val="374151350"/>
      </c:barChart>
      <c:catAx>
        <c:axId val="2111914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151350"/>
        <c:crosses val="autoZero"/>
        <c:auto val="1"/>
        <c:lblAlgn val="ctr"/>
        <c:lblOffset val="100"/>
        <c:noMultiLvlLbl val="0"/>
      </c:catAx>
      <c:valAx>
        <c:axId val="3741513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1914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2cda6e-4055-44bc-aae6-7cfafd92c7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dashbord.xlsx]semester!PivotTable9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semester wise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0761099365751"/>
          <c:y val="0.190540846345327"/>
          <c:w val="0.481871035940803"/>
          <c:h val="0.7384928716904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semester!$B$3:$B$4</c:f>
              <c:strCache>
                <c:ptCount val="1"/>
                <c:pt idx="0">
                  <c:v>semester-I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semester!$B$5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semester!$B$5</c:f>
              <c:numCache>
                <c:formatCode>General</c:formatCode>
                <c:ptCount val="1"/>
                <c:pt idx="0">
                  <c:v>10.96</c:v>
                </c:pt>
              </c:numCache>
            </c:numRef>
          </c:val>
        </c:ser>
        <c:ser>
          <c:idx val="1"/>
          <c:order val="1"/>
          <c:tx>
            <c:strRef>
              <c:f>semester!$C$3:$C$4</c:f>
              <c:strCache>
                <c:ptCount val="1"/>
                <c:pt idx="0">
                  <c:v>semester-II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semester!$B$5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semester!$C$5</c:f>
              <c:numCache>
                <c:formatCode>General</c:formatCode>
                <c:ptCount val="1"/>
                <c:pt idx="0">
                  <c:v>8.75</c:v>
                </c:pt>
              </c:numCache>
            </c:numRef>
          </c:val>
        </c:ser>
        <c:ser>
          <c:idx val="2"/>
          <c:order val="2"/>
          <c:tx>
            <c:strRef>
              <c:f>semester!$D$3:$D$4</c:f>
              <c:strCache>
                <c:ptCount val="1"/>
                <c:pt idx="0">
                  <c:v>semester-III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semester!$B$5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semester!$D$5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</c:ser>
        <c:ser>
          <c:idx val="3"/>
          <c:order val="3"/>
          <c:tx>
            <c:strRef>
              <c:f>semester!$E$3:$E$4</c:f>
              <c:strCache>
                <c:ptCount val="1"/>
                <c:pt idx="0">
                  <c:v>semester-IV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semester!$B$5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semester!$E$5</c:f>
              <c:numCache>
                <c:formatCode>General</c:formatCode>
                <c:ptCount val="1"/>
                <c:pt idx="0">
                  <c:v>10.07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55137961"/>
        <c:axId val="483456984"/>
      </c:barChart>
      <c:catAx>
        <c:axId val="2551379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56984"/>
        <c:crosses val="autoZero"/>
        <c:auto val="1"/>
        <c:lblAlgn val="ctr"/>
        <c:lblOffset val="100"/>
        <c:noMultiLvlLbl val="0"/>
      </c:catAx>
      <c:valAx>
        <c:axId val="48345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1379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242f10-0577-4c83-ac6a-de33685025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"NEGITIVE"</c:f>
              <c:strCache>
                <c:ptCount val="1"/>
                <c:pt idx="0">
                  <c:v>NEGITIVE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{"BABITHA","BHARGAVI","HARINI","KAVITHA","Merlinprinces","NEELIMA","RAMA","SAIPRIYANKA","SARITHA","Sudha","USHA"}</c:f>
              <c:strCache>
                <c:ptCount val="11"/>
                <c:pt idx="0">
                  <c:v>BABITHA</c:v>
                </c:pt>
                <c:pt idx="1">
                  <c:v>BHARGAVI</c:v>
                </c:pt>
                <c:pt idx="2">
                  <c:v>HARINI</c:v>
                </c:pt>
                <c:pt idx="3">
                  <c:v>KAVITHA</c:v>
                </c:pt>
                <c:pt idx="4">
                  <c:v>Merlinprinces</c:v>
                </c:pt>
                <c:pt idx="5">
                  <c:v>NEELIMA</c:v>
                </c:pt>
                <c:pt idx="6">
                  <c:v>RAMA</c:v>
                </c:pt>
                <c:pt idx="7">
                  <c:v>SAIPRIYANKA</c:v>
                </c:pt>
                <c:pt idx="8">
                  <c:v>SARITHA</c:v>
                </c:pt>
                <c:pt idx="9">
                  <c:v>Sudha</c:v>
                </c:pt>
                <c:pt idx="10">
                  <c:v>USHA</c:v>
                </c:pt>
              </c:strCache>
            </c:strRef>
          </c:cat>
          <c:val>
            <c:numRef>
              <c:f>{0,0,0,0,0,0,0,0,0,0,1}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"POSITIVE"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{"BABITHA","BHARGAVI","HARINI","KAVITHA","Merlinprinces","NEELIMA","RAMA","SAIPRIYANKA","SARITHA","Sudha","USHA"}</c:f>
              <c:strCache>
                <c:ptCount val="11"/>
                <c:pt idx="0">
                  <c:v>BABITHA</c:v>
                </c:pt>
                <c:pt idx="1">
                  <c:v>BHARGAVI</c:v>
                </c:pt>
                <c:pt idx="2">
                  <c:v>HARINI</c:v>
                </c:pt>
                <c:pt idx="3">
                  <c:v>KAVITHA</c:v>
                </c:pt>
                <c:pt idx="4">
                  <c:v>Merlinprinces</c:v>
                </c:pt>
                <c:pt idx="5">
                  <c:v>NEELIMA</c:v>
                </c:pt>
                <c:pt idx="6">
                  <c:v>RAMA</c:v>
                </c:pt>
                <c:pt idx="7">
                  <c:v>SAIPRIYANKA</c:v>
                </c:pt>
                <c:pt idx="8">
                  <c:v>SARITHA</c:v>
                </c:pt>
                <c:pt idx="9">
                  <c:v>Sudha</c:v>
                </c:pt>
                <c:pt idx="10">
                  <c:v>USHA</c:v>
                </c:pt>
              </c:strCache>
            </c:strRef>
          </c:cat>
          <c:val>
            <c:numRef>
              <c:f>{1,1,1,1,1,1,1,1,1,1,0}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939208"/>
        <c:axId val="640939568"/>
      </c:barChart>
      <c:catAx>
        <c:axId val="64093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939568"/>
        <c:crosses val="autoZero"/>
        <c:auto val="1"/>
        <c:lblAlgn val="ctr"/>
        <c:lblOffset val="100"/>
        <c:noMultiLvlLbl val="0"/>
      </c:catAx>
      <c:valAx>
        <c:axId val="64093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93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ce6607-4ae0-42b1-817d-cec18f4c34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[kpis dashbord.xlsx]faculty avg!PivotTable2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avg'!$B$3:$B$4</c:f>
              <c:strCache>
                <c:ptCount val="1"/>
                <c:pt idx="0">
                  <c:v>BABITHA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avg'!$B$5</c:f>
              <c:numCache>
                <c:formatCode>General</c:formatCode>
                <c:ptCount val="1"/>
                <c:pt idx="0">
                  <c:v>3.36</c:v>
                </c:pt>
              </c:numCache>
            </c:numRef>
          </c:val>
        </c:ser>
        <c:ser>
          <c:idx val="1"/>
          <c:order val="1"/>
          <c:tx>
            <c:strRef>
              <c:f>'faculty avg'!$C$3:$C$4</c:f>
              <c:strCache>
                <c:ptCount val="1"/>
                <c:pt idx="0">
                  <c:v>BHARGAVI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avg'!$C$5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</c:ser>
        <c:ser>
          <c:idx val="2"/>
          <c:order val="2"/>
          <c:tx>
            <c:strRef>
              <c:f>'faculty avg'!$D$3:$D$4</c:f>
              <c:strCache>
                <c:ptCount val="1"/>
                <c:pt idx="0">
                  <c:v>HARINI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avg'!$D$5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</c:ser>
        <c:ser>
          <c:idx val="3"/>
          <c:order val="3"/>
          <c:tx>
            <c:strRef>
              <c:f>'faculty avg'!$E$3:$E$4</c:f>
              <c:strCache>
                <c:ptCount val="1"/>
                <c:pt idx="0">
                  <c:v>KAVITHA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avg'!$E$5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4"/>
          <c:order val="4"/>
          <c:tx>
            <c:strRef>
              <c:f>'faculty avg'!$F$3:$F$4</c:f>
              <c:strCache>
                <c:ptCount val="1"/>
                <c:pt idx="0">
                  <c:v>Merlinprinces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avg'!$F$5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5"/>
          <c:order val="5"/>
          <c:tx>
            <c:strRef>
              <c:f>'faculty avg'!$G$3:$G$4</c:f>
              <c:strCache>
                <c:ptCount val="1"/>
                <c:pt idx="0">
                  <c:v>NEELIMA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avg'!$G$5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6"/>
          <c:order val="6"/>
          <c:tx>
            <c:strRef>
              <c:f>'faculty avg'!$H$3:$H$4</c:f>
              <c:strCache>
                <c:ptCount val="1"/>
                <c:pt idx="0">
                  <c:v>RAMA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avg'!$H$5</c:f>
              <c:numCache>
                <c:formatCode>General</c:formatCode>
                <c:ptCount val="1"/>
                <c:pt idx="0">
                  <c:v>3.38</c:v>
                </c:pt>
              </c:numCache>
            </c:numRef>
          </c:val>
        </c:ser>
        <c:ser>
          <c:idx val="7"/>
          <c:order val="7"/>
          <c:tx>
            <c:strRef>
              <c:f>'faculty avg'!$I$3:$I$4</c:f>
              <c:strCache>
                <c:ptCount val="1"/>
                <c:pt idx="0">
                  <c:v>SAIPRIYANKA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avg'!$I$5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</c:ser>
        <c:ser>
          <c:idx val="8"/>
          <c:order val="8"/>
          <c:tx>
            <c:strRef>
              <c:f>'faculty avg'!$J$3:$J$4</c:f>
              <c:strCache>
                <c:ptCount val="1"/>
                <c:pt idx="0">
                  <c:v>SARITHA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avg'!$J$5</c:f>
              <c:numCache>
                <c:formatCode>General</c:formatCode>
                <c:ptCount val="1"/>
                <c:pt idx="0">
                  <c:v>3.39</c:v>
                </c:pt>
              </c:numCache>
            </c:numRef>
          </c:val>
        </c:ser>
        <c:ser>
          <c:idx val="9"/>
          <c:order val="9"/>
          <c:tx>
            <c:strRef>
              <c:f>'faculty avg'!$K$3:$K$4</c:f>
              <c:strCache>
                <c:ptCount val="1"/>
                <c:pt idx="0">
                  <c:v>Sudha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avg'!$K$5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</c:ser>
        <c:ser>
          <c:idx val="10"/>
          <c:order val="10"/>
          <c:tx>
            <c:strRef>
              <c:f>'faculty avg'!$L$3:$L$4</c:f>
              <c:strCache>
                <c:ptCount val="1"/>
                <c:pt idx="0">
                  <c:v>USHA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'faculty avg'!$B$5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'faculty avg'!$L$5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7840876"/>
        <c:axId val="175155924"/>
      </c:barChart>
      <c:catAx>
        <c:axId val="678408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155924"/>
        <c:crosses val="autoZero"/>
        <c:auto val="1"/>
        <c:lblAlgn val="ctr"/>
        <c:lblOffset val="100"/>
        <c:noMultiLvlLbl val="0"/>
      </c:catAx>
      <c:valAx>
        <c:axId val="1751559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408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866a7a-7407-407a-aafb-0b220c1a0a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dashboardashboard'!$O$12</c:f>
              <c:strCache>
                <c:ptCount val="1"/>
                <c:pt idx="0">
                  <c:v>7.Consistency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'kpis dashboardashboard'!$O$13</c:f>
              <c:numCache>
                <c:formatCode>General</c:formatCode>
                <c:ptCount val="1"/>
                <c:pt idx="0">
                  <c:v>0.837596670133174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77101478"/>
        <c:axId val="698509774"/>
      </c:barChart>
      <c:catAx>
        <c:axId val="6771014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509774"/>
        <c:crosses val="autoZero"/>
        <c:auto val="1"/>
        <c:lblAlgn val="ctr"/>
        <c:lblOffset val="100"/>
        <c:noMultiLvlLbl val="0"/>
      </c:catAx>
      <c:valAx>
        <c:axId val="6985097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1014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478570-cbbc-4b4b-87ac-930fce293a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44</xdr:col>
      <xdr:colOff>419100</xdr:colOff>
      <xdr:row>7</xdr:row>
      <xdr:rowOff>177800</xdr:rowOff>
    </xdr:from>
    <xdr:to>
      <xdr:col>47</xdr:col>
      <xdr:colOff>558800</xdr:colOff>
      <xdr:row>22</xdr:row>
      <xdr:rowOff>158750</xdr:rowOff>
    </xdr:to>
    <xdr:graphicFrame>
      <xdr:nvGraphicFramePr>
        <xdr:cNvPr id="2" name="Chart 1"/>
        <xdr:cNvGraphicFramePr/>
      </xdr:nvGraphicFramePr>
      <xdr:xfrm>
        <a:off x="58813700" y="1466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939800</xdr:colOff>
      <xdr:row>7</xdr:row>
      <xdr:rowOff>82550</xdr:rowOff>
    </xdr:from>
    <xdr:to>
      <xdr:col>11</xdr:col>
      <xdr:colOff>558800</xdr:colOff>
      <xdr:row>22</xdr:row>
      <xdr:rowOff>63500</xdr:rowOff>
    </xdr:to>
    <xdr:graphicFrame>
      <xdr:nvGraphicFramePr>
        <xdr:cNvPr id="2" name="Chart 1"/>
        <xdr:cNvGraphicFramePr/>
      </xdr:nvGraphicFramePr>
      <xdr:xfrm>
        <a:off x="7486650" y="1371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400050</xdr:colOff>
      <xdr:row>7</xdr:row>
      <xdr:rowOff>19050</xdr:rowOff>
    </xdr:from>
    <xdr:to>
      <xdr:col>4</xdr:col>
      <xdr:colOff>628650</xdr:colOff>
      <xdr:row>22</xdr:row>
      <xdr:rowOff>0</xdr:rowOff>
    </xdr:to>
    <xdr:graphicFrame>
      <xdr:nvGraphicFramePr>
        <xdr:cNvPr id="2" name="Chart 1"/>
        <xdr:cNvGraphicFramePr/>
      </xdr:nvGraphicFramePr>
      <xdr:xfrm>
        <a:off x="400050" y="1308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228600</xdr:colOff>
      <xdr:row>6</xdr:row>
      <xdr:rowOff>6350</xdr:rowOff>
    </xdr:from>
    <xdr:to>
      <xdr:col>5</xdr:col>
      <xdr:colOff>463550</xdr:colOff>
      <xdr:row>20</xdr:row>
      <xdr:rowOff>171450</xdr:rowOff>
    </xdr:to>
    <xdr:graphicFrame>
      <xdr:nvGraphicFramePr>
        <xdr:cNvPr id="2" name="Chart 1"/>
        <xdr:cNvGraphicFramePr/>
      </xdr:nvGraphicFramePr>
      <xdr:xfrm>
        <a:off x="228600" y="1111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438150</xdr:colOff>
      <xdr:row>3</xdr:row>
      <xdr:rowOff>44450</xdr:rowOff>
    </xdr:from>
    <xdr:to>
      <xdr:col>12</xdr:col>
      <xdr:colOff>57150</xdr:colOff>
      <xdr:row>18</xdr:row>
      <xdr:rowOff>25400</xdr:rowOff>
    </xdr:to>
    <xdr:graphicFrame>
      <xdr:nvGraphicFramePr>
        <xdr:cNvPr id="2" name="Chart 1"/>
        <xdr:cNvGraphicFramePr/>
      </xdr:nvGraphicFramePr>
      <xdr:xfrm>
        <a:off x="8026400" y="596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18</xdr:row>
      <xdr:rowOff>140335</xdr:rowOff>
    </xdr:from>
    <xdr:to>
      <xdr:col>2</xdr:col>
      <xdr:colOff>856615</xdr:colOff>
      <xdr:row>34</xdr:row>
      <xdr:rowOff>165100</xdr:rowOff>
    </xdr:to>
    <xdr:graphicFrame>
      <xdr:nvGraphicFramePr>
        <xdr:cNvPr id="3" name="Chart 2"/>
        <xdr:cNvGraphicFramePr/>
      </xdr:nvGraphicFramePr>
      <xdr:xfrm>
        <a:off x="6350" y="4375785"/>
        <a:ext cx="2326640" cy="2971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292100</xdr:colOff>
      <xdr:row>18</xdr:row>
      <xdr:rowOff>38100</xdr:rowOff>
    </xdr:from>
    <xdr:to>
      <xdr:col>5</xdr:col>
      <xdr:colOff>525780</xdr:colOff>
      <xdr:row>33</xdr:row>
      <xdr:rowOff>171450</xdr:rowOff>
    </xdr:to>
    <xdr:graphicFrame>
      <xdr:nvGraphicFramePr>
        <xdr:cNvPr id="4" name="Chart 3"/>
        <xdr:cNvGraphicFramePr/>
      </xdr:nvGraphicFramePr>
      <xdr:xfrm>
        <a:off x="2663825" y="4273550"/>
        <a:ext cx="154051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146050</xdr:colOff>
      <xdr:row>18</xdr:row>
      <xdr:rowOff>45085</xdr:rowOff>
    </xdr:from>
    <xdr:to>
      <xdr:col>9</xdr:col>
      <xdr:colOff>520065</xdr:colOff>
      <xdr:row>33</xdr:row>
      <xdr:rowOff>88900</xdr:rowOff>
    </xdr:to>
    <xdr:graphicFrame>
      <xdr:nvGraphicFramePr>
        <xdr:cNvPr id="5" name="Chart 4"/>
        <xdr:cNvGraphicFramePr/>
      </xdr:nvGraphicFramePr>
      <xdr:xfrm>
        <a:off x="4453255" y="4280535"/>
        <a:ext cx="2399665" cy="2806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76200</xdr:rowOff>
    </xdr:from>
    <xdr:to>
      <xdr:col>12</xdr:col>
      <xdr:colOff>410210</xdr:colOff>
      <xdr:row>35</xdr:row>
      <xdr:rowOff>165100</xdr:rowOff>
    </xdr:to>
    <xdr:graphicFrame>
      <xdr:nvGraphicFramePr>
        <xdr:cNvPr id="2" name="Chart 1"/>
        <xdr:cNvGraphicFramePr/>
      </xdr:nvGraphicFramePr>
      <xdr:xfrm>
        <a:off x="6961505" y="4679950"/>
        <a:ext cx="1816735" cy="285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22</xdr:row>
      <xdr:rowOff>140335</xdr:rowOff>
    </xdr:from>
    <xdr:to>
      <xdr:col>15</xdr:col>
      <xdr:colOff>1548130</xdr:colOff>
      <xdr:row>37</xdr:row>
      <xdr:rowOff>165100</xdr:rowOff>
    </xdr:to>
    <xdr:graphicFrame>
      <xdr:nvGraphicFramePr>
        <xdr:cNvPr id="6" name="Chart 5"/>
        <xdr:cNvGraphicFramePr/>
      </xdr:nvGraphicFramePr>
      <xdr:xfrm>
        <a:off x="8996680" y="5112385"/>
        <a:ext cx="2995930" cy="2787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767715</xdr:colOff>
      <xdr:row>13</xdr:row>
      <xdr:rowOff>31115</xdr:rowOff>
    </xdr:from>
    <xdr:to>
      <xdr:col>15</xdr:col>
      <xdr:colOff>1911985</xdr:colOff>
      <xdr:row>21</xdr:row>
      <xdr:rowOff>133350</xdr:rowOff>
    </xdr:to>
    <xdr:graphicFrame>
      <xdr:nvGraphicFramePr>
        <xdr:cNvPr id="9" name="Chart 8"/>
        <xdr:cNvGraphicFramePr/>
      </xdr:nvGraphicFramePr>
      <xdr:xfrm>
        <a:off x="10393045" y="3345815"/>
        <a:ext cx="1963420" cy="1575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0.607522485690924</cdr:x>
      <cdr:y>0.0895490489420816</cdr:y>
    </cdr:from>
    <cdr:to>
      <cdr:x>1</cdr:x>
      <cdr:y>0.397307116905322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1415415" y="266065"/>
          <a:ext cx="914400" cy="9144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>
          <a:spAutoFit/>
        </a:bodyPr>
        <a:p>
          <a:endParaRPr lang="en-US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7.973900463" refreshedBy="Dell" recordCount="12">
  <cacheSource type="worksheet">
    <worksheetSource ref="O1:Q1048576" sheet="FACULTY DISTRIBUTION AVG"/>
  </cacheSource>
  <cacheFields count="3">
    <cacheField name="LTAS AVG" numFmtId="0">
      <sharedItems containsString="0" containsBlank="1" containsNumber="1" minValue="0" maxValue="4.5" count="9">
        <n v="3.25"/>
        <n v="4.5"/>
        <n v="3"/>
        <n v="3.5"/>
        <n v="4"/>
        <n v="3.75"/>
        <n v="2.5"/>
        <n v="4.25"/>
        <m/>
      </sharedItems>
    </cacheField>
    <cacheField name="FSTI AVG" numFmtId="0">
      <sharedItems containsString="0" containsBlank="1" containsNumber="1" minValue="0" maxValue="5" count="4">
        <n v="4"/>
        <n v="5"/>
        <n v="3.5"/>
        <m/>
      </sharedItems>
    </cacheField>
    <cacheField name="RMFS AVG" numFmtId="0">
      <sharedItems containsString="0" containsBlank="1" containsNumber="1" minValue="0" maxValue="5" count="7">
        <n v="5"/>
        <n v="4"/>
        <n v="1"/>
        <n v="2"/>
        <n v="3.5"/>
        <n v="2.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7.9863888889" refreshedBy="Dell" recordCount="11">
  <cacheSource type="worksheet">
    <worksheetSource name="Table2"/>
  </cacheSource>
  <cacheFields count="18">
    <cacheField name="S.NO" numFmtId="0">
      <sharedItems containsSemiMixedTypes="0" containsString="0" containsNumber="1" containsInteger="1" minValue="0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QUESTION code" numFmtId="0">
      <sharedItems count="11">
        <s v="LTAS TTESW]"/>
        <s v="FSPI [TCIITTS]"/>
        <s v="FSPI [TIPTTC]"/>
        <s v="FSPI [TTIEAT]"/>
        <s v="FSPI[TTSKIG]"/>
        <s v="LTAS[QOAWFLSIG]"/>
        <s v="FSPI[TIF&amp;A]"/>
        <s v="FSPI [TTMGUOEAI]"/>
        <s v="FSPI[LACSOTHTUS]"/>
        <s v="LTAS[TUA/VVAFET]"/>
        <s v="FSPI [TECAPOACDS]"/>
      </sharedItems>
    </cacheField>
    <cacheField name="DEPARTMENT" numFmtId="0">
      <sharedItems count="3">
        <s v="MANAGEMENT"/>
        <s v="COMMERCE"/>
        <s v="SCIENCE"/>
      </sharedItems>
    </cacheField>
    <cacheField name="Semester" numFmtId="0">
      <sharedItems count="4">
        <s v="semester-IV"/>
        <s v="semester-II"/>
        <s v="semester-III"/>
        <s v="semester-I"/>
      </sharedItems>
    </cacheField>
    <cacheField name="Specific" numFmtId="0">
      <sharedItems count="3">
        <s v="MBA"/>
        <s v="B.Com"/>
        <s v="B.Sc"/>
      </sharedItems>
    </cacheField>
    <cacheField name="Faculty name" numFmtId="0">
      <sharedItems count="11">
        <s v="RAMA"/>
        <s v="KAVITHA"/>
        <s v="BHARGAVI"/>
        <s v="BABITHA"/>
        <s v="SARITHA"/>
        <s v="HARINI"/>
        <s v="USHA"/>
        <s v="SAIPRIYANKA"/>
        <s v="NEELIMA"/>
        <s v="Merlinprinces"/>
        <s v="Sudha"/>
      </sharedItems>
    </cacheField>
    <cacheField name="Specific Subject" numFmtId="0">
      <sharedItems count="8">
        <s v="FINANCE"/>
        <s v="LCM"/>
        <s v="MOB"/>
        <s v="BRM"/>
        <s v="ACCOUNTS"/>
        <s v="STATISTICS"/>
        <s v="PHYSICS"/>
        <s v="MATHS"/>
      </sharedItems>
    </cacheField>
    <cacheField name="Question" numFmtId="0">
      <sharedItems count="11">
        <s v="Professor explains subject well"/>
        <s v="Class is interactive"/>
        <s v=" Professor is punctual"/>
        <s v="Professor is enthusiastic"/>
        <s v="Subject knowledge is good"/>
        <s v="Assignment work quality is good"/>
        <s v="Professor is approachable"/>
        <s v="Uses examples well"/>
        <s v="Communication is clear"/>
        <s v="Uses audio/visual aids"/>
        <s v="Encourages creativity"/>
      </sharedItems>
    </cacheField>
    <cacheField name="Category" numFmtId="0">
      <sharedItems count="2">
        <s v="LTAS"/>
        <s v="FSPI"/>
      </sharedItems>
    </cacheField>
    <cacheField name="Type" numFmtId="0">
      <sharedItems count="2">
        <s v="POSITIVE"/>
        <s v="NEGITIVE"/>
      </sharedItems>
    </cacheField>
    <cacheField name="Dynamic Banding" numFmtId="10">
      <sharedItems count="3">
        <s v="Needs Improvement"/>
        <s v="Average"/>
        <s v="Good"/>
      </sharedItems>
    </cacheField>
    <cacheField name="Performance status" numFmtId="0">
      <sharedItems count="4">
        <s v="Needs Improvement"/>
        <s v="Unsatisfactory"/>
        <s v="Meets Expectations"/>
        <s v="Exceeds Expectations"/>
      </sharedItems>
    </cacheField>
    <cacheField name="Hish risk faculty" numFmtId="0">
      <sharedItems count="2">
        <s v="High Risk"/>
        <s v="Low/Medium Risk"/>
      </sharedItems>
    </cacheField>
    <cacheField name="skill improvement" numFmtId="0">
      <sharedItems count="2">
        <s v="Skill Improvement Needed"/>
        <s v="No Improvement Required"/>
      </sharedItems>
    </cacheField>
    <cacheField name="fACUTY AVG" numFmtId="10">
      <sharedItems containsSemiMixedTypes="0" containsString="0" containsNumber="1" minValue="0" maxValue="4" count="10">
        <n v="3.38"/>
        <n v="2.5"/>
        <n v="3.4"/>
        <n v="3.36"/>
        <n v="3.39"/>
        <n v="3.6"/>
        <n v="2.7"/>
        <n v="3.55"/>
        <n v="4"/>
        <n v="3.3"/>
      </sharedItems>
    </cacheField>
    <cacheField name="LTAS AVG" numFmtId="0">
      <sharedItems containsSemiMixedTypes="0" containsString="0" containsNumber="1" minValue="0" maxValue="4.5" count="8">
        <n v="3.25"/>
        <n v="4.5"/>
        <n v="3"/>
        <n v="3.5"/>
        <n v="4"/>
        <n v="3.75"/>
        <n v="2.5"/>
        <n v="4.25"/>
      </sharedItems>
    </cacheField>
    <cacheField name="FSTI AVG" numFmtId="0">
      <sharedItems containsSemiMixedTypes="0" containsString="0" containsNumber="1" minValue="0" maxValue="5" count="3">
        <n v="4"/>
        <n v="5"/>
        <n v="3.5"/>
      </sharedItems>
    </cacheField>
    <cacheField name="Column122" numFmtId="0">
      <sharedItems containsSemiMixedTypes="0" containsString="0" containsNumber="1" minValue="0" maxValue="5" count="6">
        <n v="5"/>
        <n v="4"/>
        <n v="1"/>
        <n v="2"/>
        <n v="3.5"/>
        <n v="2.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7.9894444444" refreshedBy="Dell" recordCount="11">
  <cacheSource type="worksheet">
    <worksheetSource ref="O1:R12" sheet="FACULTY DISTRIBUTION AVG"/>
  </cacheSource>
  <cacheFields count="4">
    <cacheField name="fACUTY AVG" numFmtId="10">
      <sharedItems containsSemiMixedTypes="0" containsString="0" containsNumber="1" minValue="0" maxValue="4" count="10">
        <n v="3.38"/>
        <n v="2.5"/>
        <n v="3.4"/>
        <n v="3.36"/>
        <n v="3.39"/>
        <n v="3.6"/>
        <n v="2.7"/>
        <n v="3.55"/>
        <n v="4"/>
        <n v="3.3"/>
      </sharedItems>
    </cacheField>
    <cacheField name="LTAS AVG" numFmtId="0">
      <sharedItems containsSemiMixedTypes="0" containsString="0" containsNumber="1" minValue="0" maxValue="4.5" count="8">
        <n v="3.25"/>
        <n v="4.5"/>
        <n v="3"/>
        <n v="3.5"/>
        <n v="4"/>
        <n v="3.75"/>
        <n v="2.5"/>
        <n v="4.25"/>
      </sharedItems>
    </cacheField>
    <cacheField name="FSTI AVG" numFmtId="0">
      <sharedItems containsSemiMixedTypes="0" containsString="0" containsNumber="1" minValue="0" maxValue="5" count="3">
        <n v="4"/>
        <n v="5"/>
        <n v="3.5"/>
      </sharedItems>
    </cacheField>
    <cacheField name="RMFS AVG" numFmtId="0">
      <sharedItems containsSemiMixedTypes="0" containsString="0" containsNumber="1" minValue="0" maxValue="5" count="6">
        <n v="5"/>
        <n v="4"/>
        <n v="1"/>
        <n v="2"/>
        <n v="3.5"/>
        <n v="2.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</r>
  <r>
    <x v="1"/>
    <x v="0"/>
    <x v="1"/>
  </r>
  <r>
    <x v="2"/>
    <x v="1"/>
    <x v="0"/>
  </r>
  <r>
    <x v="3"/>
    <x v="2"/>
    <x v="2"/>
  </r>
  <r>
    <x v="4"/>
    <x v="1"/>
    <x v="1"/>
  </r>
  <r>
    <x v="5"/>
    <x v="2"/>
    <x v="1"/>
  </r>
  <r>
    <x v="5"/>
    <x v="1"/>
    <x v="0"/>
  </r>
  <r>
    <x v="6"/>
    <x v="0"/>
    <x v="3"/>
  </r>
  <r>
    <x v="3"/>
    <x v="1"/>
    <x v="4"/>
  </r>
  <r>
    <x v="7"/>
    <x v="0"/>
    <x v="5"/>
  </r>
  <r>
    <x v="3"/>
    <x v="0"/>
    <x v="1"/>
  </r>
  <r>
    <x v="8"/>
    <x v="3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0"/>
    <x v="1"/>
    <x v="1"/>
    <x v="1"/>
    <x v="1"/>
    <x v="0"/>
    <x v="0"/>
    <x v="1"/>
    <x v="0"/>
    <x v="0"/>
    <x v="1"/>
    <x v="1"/>
    <x v="0"/>
    <x v="1"/>
  </r>
  <r>
    <x v="2"/>
    <x v="2"/>
    <x v="0"/>
    <x v="2"/>
    <x v="0"/>
    <x v="2"/>
    <x v="0"/>
    <x v="2"/>
    <x v="1"/>
    <x v="0"/>
    <x v="0"/>
    <x v="0"/>
    <x v="0"/>
    <x v="0"/>
    <x v="2"/>
    <x v="2"/>
    <x v="1"/>
    <x v="0"/>
  </r>
  <r>
    <x v="3"/>
    <x v="3"/>
    <x v="0"/>
    <x v="3"/>
    <x v="0"/>
    <x v="3"/>
    <x v="2"/>
    <x v="3"/>
    <x v="1"/>
    <x v="0"/>
    <x v="0"/>
    <x v="0"/>
    <x v="0"/>
    <x v="0"/>
    <x v="3"/>
    <x v="3"/>
    <x v="2"/>
    <x v="2"/>
  </r>
  <r>
    <x v="4"/>
    <x v="4"/>
    <x v="0"/>
    <x v="0"/>
    <x v="0"/>
    <x v="4"/>
    <x v="3"/>
    <x v="4"/>
    <x v="1"/>
    <x v="0"/>
    <x v="0"/>
    <x v="0"/>
    <x v="0"/>
    <x v="0"/>
    <x v="4"/>
    <x v="4"/>
    <x v="1"/>
    <x v="1"/>
  </r>
  <r>
    <x v="5"/>
    <x v="5"/>
    <x v="1"/>
    <x v="3"/>
    <x v="1"/>
    <x v="5"/>
    <x v="4"/>
    <x v="5"/>
    <x v="0"/>
    <x v="0"/>
    <x v="1"/>
    <x v="2"/>
    <x v="1"/>
    <x v="1"/>
    <x v="5"/>
    <x v="5"/>
    <x v="2"/>
    <x v="1"/>
  </r>
  <r>
    <x v="6"/>
    <x v="6"/>
    <x v="1"/>
    <x v="1"/>
    <x v="1"/>
    <x v="6"/>
    <x v="5"/>
    <x v="6"/>
    <x v="1"/>
    <x v="1"/>
    <x v="0"/>
    <x v="1"/>
    <x v="0"/>
    <x v="0"/>
    <x v="6"/>
    <x v="5"/>
    <x v="1"/>
    <x v="0"/>
  </r>
  <r>
    <x v="7"/>
    <x v="7"/>
    <x v="1"/>
    <x v="1"/>
    <x v="1"/>
    <x v="7"/>
    <x v="4"/>
    <x v="7"/>
    <x v="1"/>
    <x v="0"/>
    <x v="1"/>
    <x v="2"/>
    <x v="1"/>
    <x v="1"/>
    <x v="7"/>
    <x v="6"/>
    <x v="0"/>
    <x v="3"/>
  </r>
  <r>
    <x v="8"/>
    <x v="8"/>
    <x v="1"/>
    <x v="3"/>
    <x v="1"/>
    <x v="8"/>
    <x v="4"/>
    <x v="8"/>
    <x v="1"/>
    <x v="0"/>
    <x v="2"/>
    <x v="3"/>
    <x v="1"/>
    <x v="1"/>
    <x v="8"/>
    <x v="3"/>
    <x v="1"/>
    <x v="4"/>
  </r>
  <r>
    <x v="9"/>
    <x v="9"/>
    <x v="2"/>
    <x v="2"/>
    <x v="2"/>
    <x v="9"/>
    <x v="6"/>
    <x v="9"/>
    <x v="0"/>
    <x v="0"/>
    <x v="2"/>
    <x v="3"/>
    <x v="1"/>
    <x v="1"/>
    <x v="8"/>
    <x v="7"/>
    <x v="0"/>
    <x v="5"/>
  </r>
  <r>
    <x v="10"/>
    <x v="10"/>
    <x v="2"/>
    <x v="0"/>
    <x v="2"/>
    <x v="10"/>
    <x v="7"/>
    <x v="10"/>
    <x v="1"/>
    <x v="0"/>
    <x v="0"/>
    <x v="0"/>
    <x v="0"/>
    <x v="0"/>
    <x v="9"/>
    <x v="3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</r>
  <r>
    <x v="1"/>
    <x v="1"/>
    <x v="0"/>
    <x v="1"/>
  </r>
  <r>
    <x v="2"/>
    <x v="2"/>
    <x v="1"/>
    <x v="0"/>
  </r>
  <r>
    <x v="3"/>
    <x v="3"/>
    <x v="2"/>
    <x v="2"/>
  </r>
  <r>
    <x v="4"/>
    <x v="4"/>
    <x v="1"/>
    <x v="1"/>
  </r>
  <r>
    <x v="5"/>
    <x v="5"/>
    <x v="2"/>
    <x v="1"/>
  </r>
  <r>
    <x v="6"/>
    <x v="5"/>
    <x v="1"/>
    <x v="0"/>
  </r>
  <r>
    <x v="7"/>
    <x v="6"/>
    <x v="0"/>
    <x v="3"/>
  </r>
  <r>
    <x v="8"/>
    <x v="3"/>
    <x v="1"/>
    <x v="4"/>
  </r>
  <r>
    <x v="8"/>
    <x v="7"/>
    <x v="0"/>
    <x v="5"/>
  </r>
  <r>
    <x v="9"/>
    <x v="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3">
    <pivotField dataField="1" compact="0" showAll="0">
      <items count="10">
        <item x="6"/>
        <item x="2"/>
        <item x="0"/>
        <item x="3"/>
        <item x="5"/>
        <item x="4"/>
        <item x="7"/>
        <item x="1"/>
        <item x="8"/>
        <item t="default"/>
      </items>
    </pivotField>
    <pivotField compact="0" showAll="0"/>
    <pivotField compact="0" showAll="0"/>
  </pivotFields>
  <dataFields count="1">
    <dataField name="Sum of LTAS AVG" fld="0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AV6" firstHeaderRow="1" firstDataRow="3" firstDataCol="0"/>
  <pivotFields count="18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2">
        <item x="1"/>
        <item x="10"/>
        <item x="2"/>
        <item x="3"/>
        <item x="7"/>
        <item x="8"/>
        <item x="6"/>
        <item x="4"/>
        <item x="0"/>
        <item x="5"/>
        <item x="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Col" compact="0" showAll="0">
      <items count="12">
        <item x="3"/>
        <item x="2"/>
        <item x="5"/>
        <item x="1"/>
        <item x="9"/>
        <item x="8"/>
        <item x="0"/>
        <item x="7"/>
        <item x="4"/>
        <item x="10"/>
        <item x="6"/>
        <item t="default"/>
      </items>
    </pivotField>
    <pivotField compact="0" showAll="0">
      <items count="9">
        <item x="4"/>
        <item x="3"/>
        <item x="0"/>
        <item x="1"/>
        <item x="7"/>
        <item x="2"/>
        <item x="6"/>
        <item x="5"/>
        <item t="default"/>
      </items>
    </pivotField>
    <pivotField compact="0" showAll="0">
      <items count="12">
        <item x="2"/>
        <item x="5"/>
        <item x="1"/>
        <item x="8"/>
        <item x="10"/>
        <item x="0"/>
        <item x="6"/>
        <item x="3"/>
        <item x="4"/>
        <item x="9"/>
        <item x="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1">
        <item x="1"/>
        <item x="6"/>
        <item x="9"/>
        <item x="3"/>
        <item x="0"/>
        <item x="4"/>
        <item x="2"/>
        <item x="7"/>
        <item x="5"/>
        <item x="8"/>
        <item t="default"/>
      </items>
    </pivotField>
    <pivotField dataField="1" compact="0" showAll="0">
      <items count="9">
        <item x="6"/>
        <item x="2"/>
        <item x="0"/>
        <item x="3"/>
        <item x="5"/>
        <item x="4"/>
        <item x="7"/>
        <item x="1"/>
        <item t="default"/>
      </items>
    </pivotField>
    <pivotField dataField="1" compact="0" showAll="0">
      <items count="4">
        <item x="2"/>
        <item x="0"/>
        <item x="1"/>
        <item t="default"/>
      </items>
    </pivotField>
    <pivotField dataField="1" compact="0" showAll="0">
      <items count="7">
        <item x="2"/>
        <item x="3"/>
        <item x="5"/>
        <item x="4"/>
        <item x="1"/>
        <item x="0"/>
        <item t="default"/>
      </items>
    </pivotField>
  </pivotFields>
  <rowItems count="1">
    <i/>
  </rowItems>
  <colFields count="2">
    <field x="5"/>
    <field x="-2"/>
  </colFields>
  <colItems count="4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>
      <x v="6"/>
      <x/>
    </i>
    <i r="1" i="1">
      <x v="1"/>
    </i>
    <i r="1" i="2">
      <x v="2"/>
    </i>
    <i r="1" i="3">
      <x v="3"/>
    </i>
    <i>
      <x v="7"/>
      <x/>
    </i>
    <i r="1" i="1">
      <x v="1"/>
    </i>
    <i r="1" i="2">
      <x v="2"/>
    </i>
    <i r="1" i="3">
      <x v="3"/>
    </i>
    <i>
      <x v="8"/>
      <x/>
    </i>
    <i r="1" i="1">
      <x v="1"/>
    </i>
    <i r="1" i="2">
      <x v="2"/>
    </i>
    <i r="1" i="3">
      <x v="3"/>
    </i>
    <i>
      <x v="9"/>
      <x/>
    </i>
    <i r="1" i="1">
      <x v="1"/>
    </i>
    <i r="1" i="2">
      <x v="2"/>
    </i>
    <i r="1" i="3">
      <x v="3"/>
    </i>
    <i>
      <x v="10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um of fACUTY AVG" fld="14" baseField="0" baseItem="0"/>
    <dataField name="Sum of LTAS AVG" fld="15" baseField="0" baseItem="0"/>
    <dataField name="Sum of FSTI AVG" fld="16" baseField="0" baseItem="0"/>
    <dataField name="Sum of Column122" fld="17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M5" firstHeaderRow="1" firstDataRow="2" firstDataCol="1"/>
  <pivotFields count="18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12">
        <item x="3"/>
        <item x="2"/>
        <item x="5"/>
        <item x="1"/>
        <item x="9"/>
        <item x="8"/>
        <item x="0"/>
        <item x="7"/>
        <item x="4"/>
        <item x="1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0" showAll="0">
      <items count="11">
        <item x="1"/>
        <item x="6"/>
        <item x="9"/>
        <item x="3"/>
        <item x="0"/>
        <item x="4"/>
        <item x="2"/>
        <item x="7"/>
        <item x="5"/>
        <item x="8"/>
        <item t="default"/>
      </items>
    </pivotField>
    <pivotField compact="0" showAll="0"/>
    <pivotField compact="0" showAll="0"/>
    <pivotField compact="0" showAll="0"/>
  </pivotFields>
  <rowItems count="1">
    <i/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fACUTY AVG" fld="14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E5" firstHeaderRow="1" firstDataRow="2" firstDataCol="1"/>
  <pivotFields count="18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0" showAll="0">
      <items count="11">
        <item x="1"/>
        <item x="6"/>
        <item x="9"/>
        <item x="3"/>
        <item x="0"/>
        <item x="4"/>
        <item x="2"/>
        <item x="7"/>
        <item x="5"/>
        <item x="8"/>
        <item t="default"/>
      </items>
    </pivotField>
    <pivotField compact="0" showAll="0"/>
    <pivotField compact="0" showAll="0"/>
    <pivotField compact="0" showAll="0"/>
  </pivotFields>
  <rowItems count="1">
    <i/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fACUTY AVG" fld="14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F5" firstHeaderRow="1" firstDataRow="2" firstDataCol="1"/>
  <pivotFields count="18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/>
    <pivotField compact="0" showAll="0"/>
    <pivotField axis="axisCol" compact="0" showAll="0">
      <items count="5">
        <item x="3"/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0" showAll="0">
      <items count="11">
        <item x="1"/>
        <item x="6"/>
        <item x="9"/>
        <item x="3"/>
        <item x="0"/>
        <item x="4"/>
        <item x="2"/>
        <item x="7"/>
        <item x="5"/>
        <item x="8"/>
        <item t="default"/>
      </items>
    </pivotField>
    <pivotField compact="0" showAll="0"/>
    <pivotField compact="0" showAll="0"/>
    <pivotField compact="0" showAll="0"/>
  </pivotFields>
  <rowItems count="1">
    <i/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fACUTY AVG" fld="14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M5" firstHeaderRow="1" firstDataRow="2" firstDataCol="1"/>
  <pivotFields count="18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12">
        <item x="3"/>
        <item x="2"/>
        <item x="5"/>
        <item x="1"/>
        <item x="9"/>
        <item x="8"/>
        <item x="0"/>
        <item x="7"/>
        <item x="4"/>
        <item x="1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0" showAll="0">
      <items count="11">
        <item x="1"/>
        <item x="6"/>
        <item x="9"/>
        <item x="3"/>
        <item x="0"/>
        <item x="4"/>
        <item x="2"/>
        <item x="7"/>
        <item x="5"/>
        <item x="8"/>
        <item t="default"/>
      </items>
    </pivotField>
    <pivotField compact="0" showAll="0"/>
    <pivotField compact="0" showAll="0"/>
    <pivotField compact="0" showAll="0"/>
  </pivotFields>
  <rowItems count="1">
    <i/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fACUTY AVG" fld="14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S5:U22" firstHeaderRow="1" firstDataRow="1" firstDataCol="0"/>
  <pivotFields count="4">
    <pivotField compact="0" numFmtId="10" showAll="0">
      <items count="11">
        <item x="1"/>
        <item x="6"/>
        <item x="9"/>
        <item x="3"/>
        <item x="0"/>
        <item x="4"/>
        <item x="2"/>
        <item x="7"/>
        <item x="5"/>
        <item x="8"/>
        <item t="default"/>
      </items>
    </pivotField>
    <pivotField compact="0" showAll="0">
      <items count="9">
        <item x="6"/>
        <item x="2"/>
        <item x="0"/>
        <item x="3"/>
        <item x="5"/>
        <item x="4"/>
        <item x="7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">
        <item x="2"/>
        <item x="3"/>
        <item x="5"/>
        <item x="4"/>
        <item x="1"/>
        <item x="0"/>
        <item t="default"/>
      </items>
    </pivotField>
  </pivot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R12" totalsRowShown="0">
  <autoFilter xmlns:etc="http://www.wps.cn/officeDocument/2017/etCustomData" ref="A1:R12" etc:filterBottomFollowUsedRange="0"/>
  <sortState ref="A1:R12">
    <sortCondition ref="N4"/>
  </sortState>
  <tableColumns count="18">
    <tableColumn id="1" name="S.NO" dataDxfId="0"/>
    <tableColumn id="2" name="QUESTION code" dataDxfId="1"/>
    <tableColumn id="3" name="DEPARTMENT" dataDxfId="2"/>
    <tableColumn id="4" name="Semester" dataDxfId="3"/>
    <tableColumn id="5" name="Specific" dataDxfId="4"/>
    <tableColumn id="6" name="Faculty name" dataDxfId="5"/>
    <tableColumn id="7" name="Specific Subject" dataDxfId="6"/>
    <tableColumn id="8" name="Question" dataDxfId="7"/>
    <tableColumn id="9" name="Category" dataDxfId="8"/>
    <tableColumn id="10" name="Type" dataDxfId="9"/>
    <tableColumn id="18" name="Dynamic Banding" dataDxfId="10">
      <calculatedColumnFormula array="1">_xlfn.IFS(Table2[[#This Row],[fACUTY AVG]]&gt;=4.5,"Excellent",Table2[[#This Row],[fACUTY AVG]]&gt;=4,"Good",Table2[[#This Row],[fACUTY AVG]]&gt;=3.5,"Average",TRUE,"Needs Improvement")</calculatedColumnFormula>
    </tableColumn>
    <tableColumn id="12" name="Performance status" dataDxfId="11">
      <calculatedColumnFormula array="1">_xlfn.IFS(Table2[[#This Row],[fACUTY AVG]]&gt;=4.5,"Outstanding",Table2[[#This Row],[fACUTY AVG]]&gt;=4,"Exceeds Expectations",Table2[[#This Row],[fACUTY AVG]]&gt;=3.5,"Meets Expectations",Table2[[#This Row],[fACUTY AVG]]&gt;=3,"Needs Improvement",TRUE,"Unsatisfactory")</calculatedColumnFormula>
    </tableColumn>
    <tableColumn id="13" name="Hish risk faculty" dataDxfId="12">
      <calculatedColumnFormula>IF(OR(Table2[[#This Row],[Performance status]]="Needs Improvement",Table2[[#This Row],[Performance status]]="Unsatisfactory"),"High Risk","Low/Medium Risk")</calculatedColumnFormula>
    </tableColumn>
    <tableColumn id="14" name="skill improvement" dataDxfId="13">
      <calculatedColumnFormula>IF(OR(Table2[[#This Row],[Performance status]]="Needs Improvement",Table2[[#This Row],[Performance status]]="Unsatisfactory"),"Skill Improvement Needed","No Improvement Required")</calculatedColumnFormula>
    </tableColumn>
    <tableColumn id="19" name="fACUTY AVG"/>
    <tableColumn id="15" name="LTAS AVG" dataDxfId="14"/>
    <tableColumn id="16" name="FSTI AVG" dataDxfId="15"/>
    <tableColumn id="17" name="RMFS AVG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F14" sqref="F14"/>
    </sheetView>
  </sheetViews>
  <sheetFormatPr defaultColWidth="8.72727272727273" defaultRowHeight="14.5" outlineLevelRow="3"/>
  <cols>
    <col min="1" max="1" width="16.5454545454545"/>
    <col min="2" max="9" width="11.4545454545455"/>
    <col min="10" max="10" width="11.5454545454545"/>
  </cols>
  <sheetData>
    <row r="3" spans="1:1">
      <c r="A3" t="s">
        <v>0</v>
      </c>
    </row>
    <row r="4" spans="1:1">
      <c r="A4">
        <v>39.5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V6"/>
  <sheetViews>
    <sheetView workbookViewId="0">
      <selection activeCell="A14" sqref="A14"/>
    </sheetView>
  </sheetViews>
  <sheetFormatPr defaultColWidth="8.72727272727273" defaultRowHeight="14.5" outlineLevelRow="5"/>
  <cols>
    <col min="1" max="44" width="19"/>
    <col min="45" max="45" width="24.2727272727273"/>
    <col min="46" max="46" width="21.7272727272727"/>
    <col min="47" max="47" width="21.0909090909091"/>
    <col min="48" max="48" width="23.4545454545455"/>
  </cols>
  <sheetData>
    <row r="3" spans="1:48">
      <c r="A3" t="s">
        <v>1</v>
      </c>
      <c r="B3" t="s">
        <v>2</v>
      </c>
    </row>
    <row r="4" spans="1:48">
      <c r="A4" t="s">
        <v>3</v>
      </c>
      <c r="E4" t="s">
        <v>4</v>
      </c>
      <c r="I4" t="s">
        <v>5</v>
      </c>
      <c r="M4" t="s">
        <v>6</v>
      </c>
      <c r="Q4" t="s">
        <v>7</v>
      </c>
      <c r="U4" t="s">
        <v>8</v>
      </c>
      <c r="Y4" t="s">
        <v>9</v>
      </c>
      <c r="AC4" t="s">
        <v>10</v>
      </c>
      <c r="AG4" t="s">
        <v>11</v>
      </c>
      <c r="AK4" t="s">
        <v>12</v>
      </c>
      <c r="AO4" t="s">
        <v>13</v>
      </c>
      <c r="AS4" t="s">
        <v>14</v>
      </c>
      <c r="AT4" t="s">
        <v>15</v>
      </c>
      <c r="AU4" t="s">
        <v>16</v>
      </c>
      <c r="AV4" t="s">
        <v>17</v>
      </c>
    </row>
    <row r="5" spans="1:48">
      <c r="A5" t="s">
        <v>18</v>
      </c>
      <c r="B5" t="s">
        <v>0</v>
      </c>
      <c r="C5" t="s">
        <v>19</v>
      </c>
      <c r="D5" t="s">
        <v>20</v>
      </c>
      <c r="E5" t="s">
        <v>18</v>
      </c>
      <c r="F5" t="s">
        <v>0</v>
      </c>
      <c r="G5" t="s">
        <v>19</v>
      </c>
      <c r="H5" t="s">
        <v>20</v>
      </c>
      <c r="I5" t="s">
        <v>18</v>
      </c>
      <c r="J5" t="s">
        <v>0</v>
      </c>
      <c r="K5" t="s">
        <v>19</v>
      </c>
      <c r="L5" t="s">
        <v>20</v>
      </c>
      <c r="M5" t="s">
        <v>18</v>
      </c>
      <c r="N5" t="s">
        <v>0</v>
      </c>
      <c r="O5" t="s">
        <v>19</v>
      </c>
      <c r="P5" t="s">
        <v>20</v>
      </c>
      <c r="Q5" t="s">
        <v>18</v>
      </c>
      <c r="R5" t="s">
        <v>0</v>
      </c>
      <c r="S5" t="s">
        <v>19</v>
      </c>
      <c r="T5" t="s">
        <v>20</v>
      </c>
      <c r="U5" t="s">
        <v>18</v>
      </c>
      <c r="V5" t="s">
        <v>0</v>
      </c>
      <c r="W5" t="s">
        <v>19</v>
      </c>
      <c r="X5" t="s">
        <v>20</v>
      </c>
      <c r="Y5" t="s">
        <v>18</v>
      </c>
      <c r="Z5" t="s">
        <v>0</v>
      </c>
      <c r="AA5" t="s">
        <v>19</v>
      </c>
      <c r="AB5" t="s">
        <v>20</v>
      </c>
      <c r="AC5" t="s">
        <v>18</v>
      </c>
      <c r="AD5" t="s">
        <v>0</v>
      </c>
      <c r="AE5" t="s">
        <v>19</v>
      </c>
      <c r="AF5" t="s">
        <v>20</v>
      </c>
      <c r="AG5" t="s">
        <v>18</v>
      </c>
      <c r="AH5" t="s">
        <v>0</v>
      </c>
      <c r="AI5" t="s">
        <v>19</v>
      </c>
      <c r="AJ5" t="s">
        <v>20</v>
      </c>
      <c r="AK5" t="s">
        <v>18</v>
      </c>
      <c r="AL5" t="s">
        <v>0</v>
      </c>
      <c r="AM5" t="s">
        <v>19</v>
      </c>
      <c r="AN5" t="s">
        <v>20</v>
      </c>
      <c r="AO5" t="s">
        <v>18</v>
      </c>
      <c r="AP5" t="s">
        <v>0</v>
      </c>
      <c r="AQ5" t="s">
        <v>19</v>
      </c>
      <c r="AR5" t="s">
        <v>20</v>
      </c>
    </row>
    <row r="6" spans="1:48">
      <c r="A6">
        <v>3.36</v>
      </c>
      <c r="B6">
        <v>3.5</v>
      </c>
      <c r="C6">
        <v>3.5</v>
      </c>
      <c r="D6">
        <v>1</v>
      </c>
      <c r="E6">
        <v>3.4</v>
      </c>
      <c r="F6">
        <v>3</v>
      </c>
      <c r="G6">
        <v>5</v>
      </c>
      <c r="H6">
        <v>5</v>
      </c>
      <c r="I6">
        <v>3.6</v>
      </c>
      <c r="J6">
        <v>3.75</v>
      </c>
      <c r="K6">
        <v>3.5</v>
      </c>
      <c r="L6">
        <v>4</v>
      </c>
      <c r="M6">
        <v>2.5</v>
      </c>
      <c r="N6">
        <v>4.5</v>
      </c>
      <c r="O6">
        <v>4</v>
      </c>
      <c r="P6">
        <v>4</v>
      </c>
      <c r="Q6">
        <v>4</v>
      </c>
      <c r="R6">
        <v>4.25</v>
      </c>
      <c r="S6">
        <v>4</v>
      </c>
      <c r="T6">
        <v>2.5</v>
      </c>
      <c r="U6">
        <v>4</v>
      </c>
      <c r="V6">
        <v>3.5</v>
      </c>
      <c r="W6">
        <v>5</v>
      </c>
      <c r="X6">
        <v>3.5</v>
      </c>
      <c r="Y6">
        <v>3.38</v>
      </c>
      <c r="Z6">
        <v>3.25</v>
      </c>
      <c r="AA6">
        <v>4</v>
      </c>
      <c r="AB6">
        <v>5</v>
      </c>
      <c r="AC6">
        <v>3.55</v>
      </c>
      <c r="AD6">
        <v>2.5</v>
      </c>
      <c r="AE6">
        <v>4</v>
      </c>
      <c r="AF6">
        <v>2</v>
      </c>
      <c r="AG6">
        <v>3.39</v>
      </c>
      <c r="AH6">
        <v>4</v>
      </c>
      <c r="AI6">
        <v>5</v>
      </c>
      <c r="AJ6">
        <v>4</v>
      </c>
      <c r="AK6">
        <v>3.3</v>
      </c>
      <c r="AL6">
        <v>3.5</v>
      </c>
      <c r="AM6">
        <v>4</v>
      </c>
      <c r="AN6">
        <v>4</v>
      </c>
      <c r="AO6">
        <v>2.7</v>
      </c>
      <c r="AP6">
        <v>3.75</v>
      </c>
      <c r="AQ6">
        <v>5</v>
      </c>
      <c r="AR6">
        <v>5</v>
      </c>
      <c r="AS6">
        <v>37.18</v>
      </c>
      <c r="AT6">
        <v>39.5</v>
      </c>
      <c r="AU6">
        <v>47</v>
      </c>
      <c r="AV6">
        <v>40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5"/>
  <sheetViews>
    <sheetView topLeftCell="F1" workbookViewId="0">
      <selection activeCell="F14" sqref="F14"/>
    </sheetView>
  </sheetViews>
  <sheetFormatPr defaultColWidth="8.72727272727273" defaultRowHeight="14.5" outlineLevelRow="4"/>
  <cols>
    <col min="1" max="1" width="19.1818181818182"/>
    <col min="2" max="12" width="14.9090909090909"/>
    <col min="13" max="13" width="11.5454545454545"/>
  </cols>
  <sheetData>
    <row r="3" spans="1:13">
      <c r="B3" t="s">
        <v>1</v>
      </c>
    </row>
    <row r="4" spans="1:13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21</v>
      </c>
    </row>
    <row r="5" spans="1:13">
      <c r="A5" t="s">
        <v>18</v>
      </c>
      <c r="B5">
        <v>3.36</v>
      </c>
      <c r="C5">
        <v>3.4</v>
      </c>
      <c r="D5">
        <v>3.6</v>
      </c>
      <c r="E5">
        <v>2.5</v>
      </c>
      <c r="F5">
        <v>4</v>
      </c>
      <c r="G5">
        <v>4</v>
      </c>
      <c r="H5">
        <v>3.38</v>
      </c>
      <c r="I5">
        <v>3.55</v>
      </c>
      <c r="J5">
        <v>3.39</v>
      </c>
      <c r="K5">
        <v>3.3</v>
      </c>
      <c r="L5">
        <v>2.7</v>
      </c>
      <c r="M5">
        <v>37.18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"/>
  <sheetViews>
    <sheetView workbookViewId="0">
      <selection activeCell="F14" sqref="F14"/>
    </sheetView>
  </sheetViews>
  <sheetFormatPr defaultColWidth="8.72727272727273" defaultRowHeight="14.5" outlineLevelRow="4" outlineLevelCol="4"/>
  <cols>
    <col min="1" max="1" width="19.1818181818182"/>
    <col min="2" max="4" width="15.5454545454545"/>
    <col min="5" max="5" width="11.5454545454545"/>
  </cols>
  <sheetData>
    <row r="3" spans="1:5">
      <c r="B3" t="s">
        <v>22</v>
      </c>
    </row>
    <row r="4" spans="1:5">
      <c r="B4" t="s">
        <v>23</v>
      </c>
      <c r="C4" t="s">
        <v>24</v>
      </c>
      <c r="D4" t="s">
        <v>25</v>
      </c>
      <c r="E4" t="s">
        <v>21</v>
      </c>
    </row>
    <row r="5" spans="1:5">
      <c r="A5" t="s">
        <v>18</v>
      </c>
      <c r="B5">
        <v>13.85</v>
      </c>
      <c r="C5">
        <v>16.03</v>
      </c>
      <c r="D5">
        <v>7.3</v>
      </c>
      <c r="E5">
        <v>37.18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5"/>
  <sheetViews>
    <sheetView workbookViewId="0">
      <selection activeCell="F14" sqref="F14"/>
    </sheetView>
  </sheetViews>
  <sheetFormatPr defaultColWidth="8.72727272727273" defaultRowHeight="14.5" outlineLevelRow="4" outlineLevelCol="5"/>
  <cols>
    <col min="1" max="1" width="19.1818181818182"/>
    <col min="2" max="5" width="11.6363636363636"/>
    <col min="6" max="6" width="11.5454545454545"/>
  </cols>
  <sheetData>
    <row r="3" spans="1:6">
      <c r="B3" t="s">
        <v>26</v>
      </c>
    </row>
    <row r="4" spans="1:6">
      <c r="B4" t="s">
        <v>27</v>
      </c>
      <c r="C4" t="s">
        <v>28</v>
      </c>
      <c r="D4" t="s">
        <v>29</v>
      </c>
      <c r="E4" t="s">
        <v>30</v>
      </c>
      <c r="F4" t="s">
        <v>21</v>
      </c>
    </row>
    <row r="5" spans="1:6">
      <c r="A5" t="s">
        <v>18</v>
      </c>
      <c r="B5">
        <v>10.96</v>
      </c>
      <c r="C5">
        <v>8.75</v>
      </c>
      <c r="D5">
        <v>7.4</v>
      </c>
      <c r="E5">
        <v>10.07</v>
      </c>
      <c r="F5">
        <v>37.18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5"/>
  <sheetViews>
    <sheetView workbookViewId="0">
      <selection activeCell="A1" sqref="A1"/>
    </sheetView>
  </sheetViews>
  <sheetFormatPr defaultColWidth="8.72727272727273" defaultRowHeight="14.5" outlineLevelRow="4"/>
  <cols>
    <col min="1" max="1" width="19.1818181818182"/>
    <col min="2" max="12" width="14.9090909090909"/>
    <col min="13" max="13" width="11.5454545454545"/>
  </cols>
  <sheetData>
    <row r="3" spans="1:13">
      <c r="B3" t="s">
        <v>1</v>
      </c>
    </row>
    <row r="4" spans="1:13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21</v>
      </c>
    </row>
    <row r="5" spans="1:13">
      <c r="A5" t="s">
        <v>18</v>
      </c>
      <c r="B5">
        <v>3.36</v>
      </c>
      <c r="C5">
        <v>3.4</v>
      </c>
      <c r="D5">
        <v>3.6</v>
      </c>
      <c r="E5">
        <v>2.5</v>
      </c>
      <c r="F5">
        <v>4</v>
      </c>
      <c r="G5">
        <v>4</v>
      </c>
      <c r="H5">
        <v>3.38</v>
      </c>
      <c r="I5">
        <v>3.55</v>
      </c>
      <c r="J5">
        <v>3.39</v>
      </c>
      <c r="K5">
        <v>3.3</v>
      </c>
      <c r="L5">
        <v>2.7</v>
      </c>
      <c r="M5">
        <v>37.18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topLeftCell="M1" workbookViewId="0">
      <selection activeCell="P6" sqref="P6"/>
    </sheetView>
  </sheetViews>
  <sheetFormatPr defaultColWidth="9" defaultRowHeight="14.5"/>
  <cols>
    <col min="2" max="2" width="18" customWidth="1"/>
    <col min="3" max="3" width="15.8545454545455" customWidth="1"/>
    <col min="4" max="4" width="11.7090909090909" customWidth="1"/>
    <col min="5" max="5" width="10.1363636363636" customWidth="1"/>
    <col min="6" max="6" width="15.2818181818182" customWidth="1"/>
    <col min="7" max="7" width="17.2818181818182" customWidth="1"/>
    <col min="8" max="8" width="29" customWidth="1"/>
    <col min="9" max="9" width="11.4272727272727" customWidth="1"/>
    <col min="10" max="10" width="9.42727272727273" customWidth="1"/>
    <col min="11" max="11" width="25.2818181818182" customWidth="1"/>
    <col min="12" max="12" width="20.8545454545455" customWidth="1"/>
    <col min="13" max="14" width="36.5727272727273" customWidth="1"/>
    <col min="15" max="15" width="12.1363636363636" customWidth="1"/>
    <col min="16" max="16" width="11.4272727272727" customWidth="1"/>
    <col min="17" max="17" width="12.8545454545455" customWidth="1"/>
    <col min="19" max="19" width="16"/>
    <col min="20" max="48" width="17.2727272727273"/>
    <col min="49" max="49" width="21.7272727272727"/>
    <col min="50" max="50" width="22.5454545454545"/>
    <col min="51" max="51" width="21.0909090909091"/>
    <col min="52" max="59" width="17.6363636363636"/>
    <col min="60" max="60" width="22.5454545454545"/>
    <col min="61" max="61" width="21.0909090909091"/>
    <col min="62" max="62" width="21.7272727272727"/>
    <col min="63" max="63" width="22.8181818181818"/>
    <col min="64" max="64" width="22.1818181818182"/>
  </cols>
  <sheetData>
    <row r="1" spans="1:21">
      <c r="A1" s="9" t="s">
        <v>31</v>
      </c>
      <c r="B1" s="10" t="s">
        <v>32</v>
      </c>
      <c r="C1" s="10" t="s">
        <v>22</v>
      </c>
      <c r="D1" s="10" t="s">
        <v>26</v>
      </c>
      <c r="E1" s="10" t="s">
        <v>33</v>
      </c>
      <c r="F1" s="10" t="s">
        <v>1</v>
      </c>
      <c r="G1" s="10" t="s">
        <v>34</v>
      </c>
      <c r="H1" s="10" t="s">
        <v>35</v>
      </c>
      <c r="I1" s="10" t="s">
        <v>36</v>
      </c>
      <c r="J1" s="10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2" t="s">
        <v>42</v>
      </c>
      <c r="P1" s="11" t="s">
        <v>43</v>
      </c>
      <c r="Q1" s="13" t="s">
        <v>44</v>
      </c>
      <c r="R1" s="9" t="s">
        <v>45</v>
      </c>
    </row>
    <row r="2" ht="18.75" customHeight="1" spans="1:21">
      <c r="A2" s="9">
        <v>6</v>
      </c>
      <c r="B2" s="9" t="s">
        <v>46</v>
      </c>
      <c r="C2" s="9" t="s">
        <v>23</v>
      </c>
      <c r="D2" s="9" t="s">
        <v>27</v>
      </c>
      <c r="E2" s="9" t="s">
        <v>47</v>
      </c>
      <c r="F2" s="9" t="s">
        <v>5</v>
      </c>
      <c r="G2" s="9" t="s">
        <v>48</v>
      </c>
      <c r="H2" s="9" t="s">
        <v>49</v>
      </c>
      <c r="I2" s="9" t="s">
        <v>50</v>
      </c>
      <c r="J2" s="9" t="s">
        <v>51</v>
      </c>
      <c r="K2" s="14" t="str">
        <f t="array" ref="K2">_xlfn.IFS(Table2[[#This Row],[fACUTY AVG]]&gt;=4.5,"Excellent",Table2[[#This Row],[fACUTY AVG]]&gt;=4,"Good",Table2[[#This Row],[fACUTY AVG]]&gt;=3.5,"Average",TRUE,"Needs Improvement")</f>
        <v>Average</v>
      </c>
      <c r="L2" s="15" t="str">
        <f t="array" ref="L2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Meets Expectations</v>
      </c>
      <c r="M2" s="16" t="str">
        <f>IF(OR(Table2[[#This Row],[Performance status]]="Needs Improvement",Table2[[#This Row],[Performance status]]="Unsatisfactory"),"High Risk","Low/Medium Risk")</f>
        <v>Low/Medium Risk</v>
      </c>
      <c r="N2" s="16" t="str">
        <f>IF(OR(Table2[[#This Row],[Performance status]]="Needs Improvement",Table2[[#This Row],[Performance status]]="Unsatisfactory"),"Skill Improvement Needed","No Improvement Required")</f>
        <v>No Improvement Required</v>
      </c>
      <c r="O2" s="14">
        <v>3.6</v>
      </c>
      <c r="P2" s="9">
        <v>3.75</v>
      </c>
      <c r="Q2" s="9">
        <v>3.5</v>
      </c>
      <c r="R2" s="9">
        <v>4</v>
      </c>
    </row>
    <row r="3" spans="1:21">
      <c r="A3" s="9">
        <v>8</v>
      </c>
      <c r="B3" s="9" t="s">
        <v>52</v>
      </c>
      <c r="C3" s="9" t="s">
        <v>23</v>
      </c>
      <c r="D3" s="9" t="s">
        <v>28</v>
      </c>
      <c r="E3" s="9" t="s">
        <v>47</v>
      </c>
      <c r="F3" s="9" t="s">
        <v>10</v>
      </c>
      <c r="G3" s="9" t="s">
        <v>48</v>
      </c>
      <c r="H3" s="9" t="s">
        <v>53</v>
      </c>
      <c r="I3" s="10" t="s">
        <v>54</v>
      </c>
      <c r="J3" s="9" t="s">
        <v>51</v>
      </c>
      <c r="K3" s="14" t="str">
        <f t="array" ref="K3">_xlfn.IFS(Table2[[#This Row],[fACUTY AVG]]&gt;=4.5,"Excellent",Table2[[#This Row],[fACUTY AVG]]&gt;=4,"Good",Table2[[#This Row],[fACUTY AVG]]&gt;=3.5,"Average",TRUE,"Needs Improvement")</f>
        <v>Average</v>
      </c>
      <c r="L3" s="15" t="str">
        <f t="array" ref="L3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Meets Expectations</v>
      </c>
      <c r="M3" s="16" t="str">
        <f>IF(OR(Table2[[#This Row],[Performance status]]="Needs Improvement",Table2[[#This Row],[Performance status]]="Unsatisfactory"),"High Risk","Low/Medium Risk")</f>
        <v>Low/Medium Risk</v>
      </c>
      <c r="N3" s="16" t="str">
        <f>IF(OR(Table2[[#This Row],[Performance status]]="Needs Improvement",Table2[[#This Row],[Performance status]]="Unsatisfactory"),"Skill Improvement Needed","No Improvement Required")</f>
        <v>No Improvement Required</v>
      </c>
      <c r="O3" s="14">
        <v>3.55</v>
      </c>
      <c r="P3" s="9">
        <v>2.5</v>
      </c>
      <c r="Q3" s="9">
        <v>4</v>
      </c>
      <c r="R3" s="9">
        <v>2</v>
      </c>
    </row>
    <row r="4" spans="1:21">
      <c r="A4" s="9">
        <v>9</v>
      </c>
      <c r="B4" s="9" t="s">
        <v>55</v>
      </c>
      <c r="C4" s="9" t="s">
        <v>23</v>
      </c>
      <c r="D4" s="9" t="s">
        <v>27</v>
      </c>
      <c r="E4" s="9" t="s">
        <v>47</v>
      </c>
      <c r="F4" s="9" t="s">
        <v>8</v>
      </c>
      <c r="G4" s="9" t="s">
        <v>48</v>
      </c>
      <c r="H4" s="9" t="s">
        <v>56</v>
      </c>
      <c r="I4" s="10" t="s">
        <v>54</v>
      </c>
      <c r="J4" s="9" t="s">
        <v>51</v>
      </c>
      <c r="K4" s="17" t="str">
        <f t="array" ref="K4">_xlfn.IFS(Table2[[#This Row],[fACUTY AVG]]&gt;=4.5,"Excellent",Table2[[#This Row],[fACUTY AVG]]&gt;=4,"Good",Table2[[#This Row],[fACUTY AVG]]&gt;=3.5,"Average",TRUE,"Needs Improvement")</f>
        <v>Good</v>
      </c>
      <c r="L4" s="16" t="str">
        <f t="array" ref="L4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Exceeds Expectations</v>
      </c>
      <c r="M4" s="16" t="str">
        <f>IF(OR(Table2[[#This Row],[Performance status]]="Needs Improvement",Table2[[#This Row],[Performance status]]="Unsatisfactory"),"High Risk","Low/Medium Risk")</f>
        <v>Low/Medium Risk</v>
      </c>
      <c r="N4" s="16" t="str">
        <f>IF(OR(Table2[[#This Row],[Performance status]]="Needs Improvement",Table2[[#This Row],[Performance status]]="Unsatisfactory"),"Skill Improvement Needed","No Improvement Required")</f>
        <v>No Improvement Required</v>
      </c>
      <c r="O4" s="17">
        <v>4</v>
      </c>
      <c r="P4" s="9">
        <v>3.5</v>
      </c>
      <c r="Q4" s="9">
        <v>5</v>
      </c>
      <c r="R4" s="9">
        <v>3.5</v>
      </c>
    </row>
    <row r="5" spans="1:21">
      <c r="A5" s="9">
        <v>10</v>
      </c>
      <c r="B5" s="9" t="s">
        <v>57</v>
      </c>
      <c r="C5" s="9" t="s">
        <v>25</v>
      </c>
      <c r="D5" s="9" t="s">
        <v>29</v>
      </c>
      <c r="E5" s="9" t="s">
        <v>58</v>
      </c>
      <c r="F5" s="9" t="s">
        <v>7</v>
      </c>
      <c r="G5" s="9" t="s">
        <v>59</v>
      </c>
      <c r="H5" s="9" t="s">
        <v>60</v>
      </c>
      <c r="I5" s="9" t="s">
        <v>50</v>
      </c>
      <c r="J5" s="9" t="s">
        <v>51</v>
      </c>
      <c r="K5" s="14" t="str">
        <f t="array" ref="K5">_xlfn.IFS(Table2[[#This Row],[fACUTY AVG]]&gt;=4.5,"Excellent",Table2[[#This Row],[fACUTY AVG]]&gt;=4,"Good",Table2[[#This Row],[fACUTY AVG]]&gt;=3.5,"Average",TRUE,"Needs Improvement")</f>
        <v>Good</v>
      </c>
      <c r="L5" s="15" t="str">
        <f t="array" ref="L5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Exceeds Expectations</v>
      </c>
      <c r="M5" s="16" t="str">
        <f>IF(OR(Table2[[#This Row],[Performance status]]="Needs Improvement",Table2[[#This Row],[Performance status]]="Unsatisfactory"),"High Risk","Low/Medium Risk")</f>
        <v>Low/Medium Risk</v>
      </c>
      <c r="N5" s="16" t="str">
        <f>IF(OR(Table2[[#This Row],[Performance status]]="Needs Improvement",Table2[[#This Row],[Performance status]]="Unsatisfactory"),"Skill Improvement Needed","No Improvement Required")</f>
        <v>No Improvement Required</v>
      </c>
      <c r="O5" s="14">
        <v>4</v>
      </c>
      <c r="P5" s="9">
        <v>4.25</v>
      </c>
      <c r="Q5" s="9">
        <v>4</v>
      </c>
      <c r="R5" s="9">
        <v>2.5</v>
      </c>
      <c r="S5" s="18"/>
      <c r="T5" s="19"/>
      <c r="U5" s="20"/>
    </row>
    <row r="6" spans="1:21">
      <c r="A6" s="9">
        <v>1</v>
      </c>
      <c r="B6" s="9" t="s">
        <v>61</v>
      </c>
      <c r="C6" s="9" t="s">
        <v>24</v>
      </c>
      <c r="D6" s="9" t="s">
        <v>30</v>
      </c>
      <c r="E6" s="9" t="s">
        <v>62</v>
      </c>
      <c r="F6" s="9" t="s">
        <v>9</v>
      </c>
      <c r="G6" s="9" t="s">
        <v>63</v>
      </c>
      <c r="H6" s="9" t="s">
        <v>64</v>
      </c>
      <c r="I6" s="9" t="s">
        <v>50</v>
      </c>
      <c r="J6" s="9" t="s">
        <v>51</v>
      </c>
      <c r="K6" s="21" t="str">
        <f t="array" ref="K6">_xlfn.IFS(Table2[[#This Row],[fACUTY AVG]]&gt;=4.5,"Excellent",Table2[[#This Row],[fACUTY AVG]]&gt;=4,"Good",Table2[[#This Row],[fACUTY AVG]]&gt;=3.5,"Average",TRUE,"Needs Improvement")</f>
        <v>Needs Improvement</v>
      </c>
      <c r="L6" s="15" t="str">
        <f t="array" ref="L6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Needs Improvement</v>
      </c>
      <c r="M6" s="22" t="str">
        <f>IF(OR(Table2[[#This Row],[Performance status]]="Needs Improvement",Table2[[#This Row],[Performance status]]="Unsatisfactory"),"High Risk","Low/Medium Risk")</f>
        <v>High Risk</v>
      </c>
      <c r="N6" s="22" t="str">
        <f>IF(OR(Table2[[#This Row],[Performance status]]="Needs Improvement",Table2[[#This Row],[Performance status]]="Unsatisfactory"),"Skill Improvement Needed","No Improvement Required")</f>
        <v>Skill Improvement Needed</v>
      </c>
      <c r="O6" s="17">
        <v>3.38</v>
      </c>
      <c r="P6" s="9">
        <v>3.25</v>
      </c>
      <c r="Q6" s="9">
        <v>4</v>
      </c>
      <c r="R6" s="9">
        <v>5</v>
      </c>
      <c r="S6" s="23"/>
      <c r="T6" s="24"/>
      <c r="U6" s="25"/>
    </row>
    <row r="7" spans="1:21">
      <c r="A7" s="9">
        <v>2</v>
      </c>
      <c r="B7" s="26" t="s">
        <v>65</v>
      </c>
      <c r="C7" s="9" t="s">
        <v>24</v>
      </c>
      <c r="D7" s="9" t="s">
        <v>28</v>
      </c>
      <c r="E7" s="9" t="s">
        <v>62</v>
      </c>
      <c r="F7" s="9" t="s">
        <v>6</v>
      </c>
      <c r="G7" s="9" t="s">
        <v>66</v>
      </c>
      <c r="H7" s="9" t="s">
        <v>67</v>
      </c>
      <c r="I7" s="27" t="s">
        <v>54</v>
      </c>
      <c r="J7" s="9" t="s">
        <v>51</v>
      </c>
      <c r="K7" s="28" t="str">
        <f t="array" ref="K7">_xlfn.IFS(Table2[[#This Row],[fACUTY AVG]]&gt;=4.5,"Excellent",Table2[[#This Row],[fACUTY AVG]]&gt;=4,"Good",Table2[[#This Row],[fACUTY AVG]]&gt;=3.5,"Average",TRUE,"Needs Improvement")</f>
        <v>Needs Improvement</v>
      </c>
      <c r="L7" s="15" t="str">
        <f t="array" ref="L7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Unsatisfactory</v>
      </c>
      <c r="M7" s="16" t="str">
        <f>IF(OR(Table2[[#This Row],[Performance status]]="Needs Improvement",Table2[[#This Row],[Performance status]]="Unsatisfactory"),"High Risk","Low/Medium Risk")</f>
        <v>High Risk</v>
      </c>
      <c r="N7" s="15" t="str">
        <f>IF(OR(Table2[[#This Row],[Performance status]]="Needs Improvement",Table2[[#This Row],[Performance status]]="Unsatisfactory"),"Skill Improvement Needed","No Improvement Required")</f>
        <v>Skill Improvement Needed</v>
      </c>
      <c r="O7" s="14">
        <v>2.5</v>
      </c>
      <c r="P7" s="9">
        <v>4.5</v>
      </c>
      <c r="Q7" s="9">
        <v>4</v>
      </c>
      <c r="R7" s="9">
        <v>4</v>
      </c>
      <c r="S7" s="23"/>
      <c r="T7" s="24"/>
      <c r="U7" s="25"/>
    </row>
    <row r="8" spans="1:21">
      <c r="A8" s="9">
        <v>3</v>
      </c>
      <c r="B8" s="9" t="s">
        <v>68</v>
      </c>
      <c r="C8" s="9" t="s">
        <v>24</v>
      </c>
      <c r="D8" s="9" t="s">
        <v>29</v>
      </c>
      <c r="E8" s="9" t="s">
        <v>62</v>
      </c>
      <c r="F8" s="9" t="s">
        <v>4</v>
      </c>
      <c r="G8" s="9" t="s">
        <v>63</v>
      </c>
      <c r="H8" s="9" t="s">
        <v>69</v>
      </c>
      <c r="I8" s="10" t="s">
        <v>54</v>
      </c>
      <c r="J8" s="9" t="s">
        <v>51</v>
      </c>
      <c r="K8" s="21" t="str">
        <f t="array" ref="K8">_xlfn.IFS(Table2[[#This Row],[fACUTY AVG]]&gt;=4.5,"Excellent",Table2[[#This Row],[fACUTY AVG]]&gt;=4,"Good",Table2[[#This Row],[fACUTY AVG]]&gt;=3.5,"Average",TRUE,"Needs Improvement")</f>
        <v>Needs Improvement</v>
      </c>
      <c r="L8" s="16" t="str">
        <f t="array" ref="L8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Needs Improvement</v>
      </c>
      <c r="M8" s="16" t="str">
        <f>IF(OR(Table2[[#This Row],[Performance status]]="Needs Improvement",Table2[[#This Row],[Performance status]]="Unsatisfactory"),"High Risk","Low/Medium Risk")</f>
        <v>High Risk</v>
      </c>
      <c r="N8" s="16" t="str">
        <f>IF(OR(Table2[[#This Row],[Performance status]]="Needs Improvement",Table2[[#This Row],[Performance status]]="Unsatisfactory"),"Skill Improvement Needed","No Improvement Required")</f>
        <v>Skill Improvement Needed</v>
      </c>
      <c r="O8" s="17">
        <v>3.4</v>
      </c>
      <c r="P8" s="9">
        <v>3</v>
      </c>
      <c r="Q8" s="9">
        <v>5</v>
      </c>
      <c r="R8" s="9">
        <v>5</v>
      </c>
      <c r="S8" s="23"/>
      <c r="T8" s="24"/>
      <c r="U8" s="25"/>
    </row>
    <row r="9" spans="1:21">
      <c r="A9" s="9">
        <v>4</v>
      </c>
      <c r="B9" s="9" t="s">
        <v>70</v>
      </c>
      <c r="C9" s="9" t="s">
        <v>24</v>
      </c>
      <c r="D9" s="9" t="s">
        <v>27</v>
      </c>
      <c r="E9" s="9" t="s">
        <v>62</v>
      </c>
      <c r="F9" s="9" t="s">
        <v>3</v>
      </c>
      <c r="G9" s="9" t="s">
        <v>71</v>
      </c>
      <c r="H9" s="9" t="s">
        <v>72</v>
      </c>
      <c r="I9" s="10" t="s">
        <v>54</v>
      </c>
      <c r="J9" s="9" t="s">
        <v>51</v>
      </c>
      <c r="K9" s="28" t="str">
        <f t="array" ref="K9">_xlfn.IFS(Table2[[#This Row],[fACUTY AVG]]&gt;=4.5,"Excellent",Table2[[#This Row],[fACUTY AVG]]&gt;=4,"Good",Table2[[#This Row],[fACUTY AVG]]&gt;=3.5,"Average",TRUE,"Needs Improvement")</f>
        <v>Needs Improvement</v>
      </c>
      <c r="L9" s="15" t="str">
        <f t="array" ref="L9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Needs Improvement</v>
      </c>
      <c r="M9" s="16" t="str">
        <f>IF(OR(Table2[[#This Row],[Performance status]]="Needs Improvement",Table2[[#This Row],[Performance status]]="Unsatisfactory"),"High Risk","Low/Medium Risk")</f>
        <v>High Risk</v>
      </c>
      <c r="N9" s="16" t="str">
        <f>IF(OR(Table2[[#This Row],[Performance status]]="Needs Improvement",Table2[[#This Row],[Performance status]]="Unsatisfactory"),"Skill Improvement Needed","No Improvement Required")</f>
        <v>Skill Improvement Needed</v>
      </c>
      <c r="O9" s="14">
        <v>3.36</v>
      </c>
      <c r="P9" s="9">
        <v>3.5</v>
      </c>
      <c r="Q9" s="9">
        <v>3.5</v>
      </c>
      <c r="R9" s="9">
        <v>1</v>
      </c>
      <c r="S9" s="23"/>
      <c r="T9" s="24"/>
      <c r="U9" s="25"/>
    </row>
    <row r="10" spans="1:21">
      <c r="A10" s="9">
        <v>5</v>
      </c>
      <c r="B10" s="26" t="s">
        <v>73</v>
      </c>
      <c r="C10" s="9" t="s">
        <v>24</v>
      </c>
      <c r="D10" s="9" t="s">
        <v>30</v>
      </c>
      <c r="E10" s="9" t="s">
        <v>62</v>
      </c>
      <c r="F10" s="9" t="s">
        <v>11</v>
      </c>
      <c r="G10" s="9" t="s">
        <v>74</v>
      </c>
      <c r="H10" s="9" t="s">
        <v>75</v>
      </c>
      <c r="I10" s="10" t="s">
        <v>54</v>
      </c>
      <c r="J10" s="9" t="s">
        <v>51</v>
      </c>
      <c r="K10" s="17" t="str">
        <f t="array" ref="K10">_xlfn.IFS(Table2[[#This Row],[fACUTY AVG]]&gt;=4.5,"Excellent",Table2[[#This Row],[fACUTY AVG]]&gt;=4,"Good",Table2[[#This Row],[fACUTY AVG]]&gt;=3.5,"Average",TRUE,"Needs Improvement")</f>
        <v>Needs Improvement</v>
      </c>
      <c r="L10" s="16" t="str">
        <f t="array" ref="L10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Needs Improvement</v>
      </c>
      <c r="M10" s="16" t="str">
        <f>IF(OR(Table2[[#This Row],[Performance status]]="Needs Improvement",Table2[[#This Row],[Performance status]]="Unsatisfactory"),"High Risk","Low/Medium Risk")</f>
        <v>High Risk</v>
      </c>
      <c r="N10" s="16" t="str">
        <f>IF(OR(Table2[[#This Row],[Performance status]]="Needs Improvement",Table2[[#This Row],[Performance status]]="Unsatisfactory"),"Skill Improvement Needed","No Improvement Required")</f>
        <v>Skill Improvement Needed</v>
      </c>
      <c r="O10" s="17">
        <v>3.39</v>
      </c>
      <c r="P10" s="9">
        <v>4</v>
      </c>
      <c r="Q10" s="9">
        <v>5</v>
      </c>
      <c r="R10" s="9">
        <v>4</v>
      </c>
      <c r="S10" s="23"/>
      <c r="T10" s="24"/>
      <c r="U10" s="25"/>
    </row>
    <row r="11" spans="1:21">
      <c r="A11" s="9">
        <v>7</v>
      </c>
      <c r="B11" s="9" t="s">
        <v>76</v>
      </c>
      <c r="C11" s="9" t="s">
        <v>23</v>
      </c>
      <c r="D11" s="9" t="s">
        <v>28</v>
      </c>
      <c r="E11" s="9" t="s">
        <v>47</v>
      </c>
      <c r="F11" s="9" t="s">
        <v>13</v>
      </c>
      <c r="G11" s="9" t="s">
        <v>77</v>
      </c>
      <c r="H11" s="9" t="s">
        <v>78</v>
      </c>
      <c r="I11" s="10" t="s">
        <v>54</v>
      </c>
      <c r="J11" s="9" t="s">
        <v>79</v>
      </c>
      <c r="K11" s="17" t="str">
        <f t="array" ref="K11">_xlfn.IFS(Table2[[#This Row],[fACUTY AVG]]&gt;=4.5,"Excellent",Table2[[#This Row],[fACUTY AVG]]&gt;=4,"Good",Table2[[#This Row],[fACUTY AVG]]&gt;=3.5,"Average",TRUE,"Needs Improvement")</f>
        <v>Needs Improvement</v>
      </c>
      <c r="L11" s="16" t="str">
        <f t="array" ref="L11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Unsatisfactory</v>
      </c>
      <c r="M11" s="16" t="str">
        <f>IF(OR(Table2[[#This Row],[Performance status]]="Needs Improvement",Table2[[#This Row],[Performance status]]="Unsatisfactory"),"High Risk","Low/Medium Risk")</f>
        <v>High Risk</v>
      </c>
      <c r="N11" s="16" t="str">
        <f>IF(OR(Table2[[#This Row],[Performance status]]="Needs Improvement",Table2[[#This Row],[Performance status]]="Unsatisfactory"),"Skill Improvement Needed","No Improvement Required")</f>
        <v>Skill Improvement Needed</v>
      </c>
      <c r="O11" s="17">
        <v>2.7</v>
      </c>
      <c r="P11" s="9">
        <v>3.75</v>
      </c>
      <c r="Q11" s="9">
        <v>5</v>
      </c>
      <c r="R11" s="9">
        <v>5</v>
      </c>
      <c r="S11" s="23"/>
      <c r="T11" s="24"/>
      <c r="U11" s="25"/>
    </row>
    <row r="12" spans="1:21">
      <c r="A12" s="9">
        <v>11</v>
      </c>
      <c r="B12" s="9" t="s">
        <v>80</v>
      </c>
      <c r="C12" s="9" t="s">
        <v>25</v>
      </c>
      <c r="D12" s="9" t="s">
        <v>30</v>
      </c>
      <c r="E12" s="9" t="s">
        <v>58</v>
      </c>
      <c r="F12" s="9" t="s">
        <v>12</v>
      </c>
      <c r="G12" s="9" t="s">
        <v>81</v>
      </c>
      <c r="H12" s="9" t="s">
        <v>82</v>
      </c>
      <c r="I12" s="10" t="s">
        <v>54</v>
      </c>
      <c r="J12" s="9" t="s">
        <v>51</v>
      </c>
      <c r="K12" s="17" t="str" cm="1">
        <f t="array" ref="K12">_xlfn.IFS(Table2[[#This Row],[fACUTY AVG]]&gt;=4.5,"Excellent",Table2[[#This Row],[fACUTY AVG]]&gt;=4,"Good",Table2[[#This Row],[fACUTY AVG]]&gt;=3.5,"Average",TRUE,"Needs Improvement")</f>
        <v>Needs Improvement</v>
      </c>
      <c r="L12" s="16" t="str" cm="1">
        <f t="array" ref="L12">_xlfn.IFS(Table2[[#This Row],[fACUTY AVG]]&gt;=4.5,"Outstanding",Table2[[#This Row],[fACUTY AVG]]&gt;=4,"Exceeds Expectations",Table2[[#This Row],[fACUTY AVG]]&gt;=3.5,"Meets Expectations",Table2[[#This Row],[fACUTY AVG]]&gt;=3,"Needs Improvement",TRUE,"Unsatisfactory")</f>
        <v>Needs Improvement</v>
      </c>
      <c r="M12" s="16" t="str">
        <f>IF(OR(Table2[[#This Row],[Performance status]]="Needs Improvement",Table2[[#This Row],[Performance status]]="Unsatisfactory"),"High Risk","Low/Medium Risk")</f>
        <v>High Risk</v>
      </c>
      <c r="N12" s="16" t="str">
        <f>IF(OR(Table2[[#This Row],[Performance status]]="Needs Improvement",Table2[[#This Row],[Performance status]]="Unsatisfactory"),"Skill Improvement Needed","No Improvement Required")</f>
        <v>Skill Improvement Needed</v>
      </c>
      <c r="O12" s="17">
        <v>3.3</v>
      </c>
      <c r="P12" s="9">
        <v>3.5</v>
      </c>
      <c r="Q12" s="9">
        <v>4</v>
      </c>
      <c r="R12" s="9">
        <v>4</v>
      </c>
      <c r="S12" s="23"/>
      <c r="T12" s="24"/>
      <c r="U12" s="25"/>
    </row>
    <row r="13" spans="1:21">
      <c r="S13" s="23"/>
      <c r="T13" s="24"/>
      <c r="U13" s="25"/>
    </row>
    <row r="14" spans="1:21">
      <c r="S14" s="23"/>
      <c r="T14" s="24"/>
      <c r="U14" s="25"/>
    </row>
    <row r="15" spans="1:21">
      <c r="S15" s="23"/>
      <c r="T15" s="24"/>
      <c r="U15" s="25"/>
    </row>
    <row r="16" spans="1:21">
      <c r="S16" s="23"/>
      <c r="T16" s="24"/>
      <c r="U16" s="25"/>
    </row>
    <row r="17" spans="2:21">
      <c r="S17" s="23"/>
      <c r="T17" s="24"/>
      <c r="U17" s="25"/>
    </row>
    <row r="18" spans="2:21">
      <c r="S18" s="23"/>
      <c r="T18" s="24"/>
      <c r="U18" s="25"/>
    </row>
    <row r="19" spans="2:21">
      <c r="S19" s="23"/>
      <c r="T19" s="24"/>
      <c r="U19" s="25"/>
    </row>
    <row r="20" spans="2:21">
      <c r="S20" s="23"/>
      <c r="T20" s="24"/>
      <c r="U20" s="25"/>
    </row>
    <row r="21" spans="2:21">
      <c r="S21" s="23"/>
      <c r="T21" s="24"/>
      <c r="U21" s="25"/>
    </row>
    <row r="22" spans="2:21">
      <c r="S22" s="29"/>
      <c r="T22" s="30"/>
      <c r="U22" s="31"/>
    </row>
    <row r="25" spans="2:21">
      <c r="B25" t="e">
        <f>AVERAGEIF('FACULTY DISTRIBUTION AVG'!$D:$D,"semester-IV",'FACULTY DISTRIBUTION AVG'!$C:$C)</f>
        <v>#DIV/0!</v>
      </c>
    </row>
  </sheetData>
  <autoFilter xmlns:etc="http://www.wps.cn/officeDocument/2017/etCustomData" ref="S3:U4" etc:filterBottomFollowUsedRange="0">
    <extLst/>
  </autoFilter>
  <pageMargins left="0.7" right="0.7" top="0.75" bottom="0.75" header="0.3" footer="0.3"/>
  <headerFooter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topLeftCell="A8" workbookViewId="0">
      <selection activeCell="O12" sqref="O12"/>
    </sheetView>
  </sheetViews>
  <sheetFormatPr defaultColWidth="9" defaultRowHeight="14.5"/>
  <cols>
    <col min="1" max="1" width="12.1363636363636" customWidth="1"/>
    <col min="3" max="3" width="12.8181818181818"/>
    <col min="5" max="5" width="9.70909090909091" customWidth="1"/>
    <col min="9" max="9" width="11" customWidth="1"/>
    <col min="12" max="12" width="11.1363636363636" customWidth="1"/>
    <col min="15" max="15" width="11.7272727272727"/>
    <col min="16" max="16" width="36.5727272727273" customWidth="1"/>
    <col min="17" max="17" width="11.7090909090909" customWidth="1"/>
    <col min="19" max="19" width="33.2818181818182" customWidth="1"/>
    <col min="22" max="22" width="36.5727272727273" customWidth="1"/>
  </cols>
  <sheetData>
    <row r="1" spans="1:15">
      <c r="A1" s="1" t="s">
        <v>83</v>
      </c>
      <c r="B1" s="1" t="s">
        <v>84</v>
      </c>
      <c r="I1" s="2" t="s">
        <v>85</v>
      </c>
    </row>
    <row r="11" spans="1:15">
      <c r="A11" s="1" t="s">
        <v>86</v>
      </c>
    </row>
    <row r="12" ht="87" spans="1:15">
      <c r="A12" s="3" t="s">
        <v>87</v>
      </c>
      <c r="C12" s="4" t="s">
        <v>88</v>
      </c>
      <c r="F12" s="5" t="s">
        <v>89</v>
      </c>
      <c r="I12" s="6" t="s">
        <v>90</v>
      </c>
      <c r="K12" s="5" t="s">
        <v>91</v>
      </c>
      <c r="M12" s="5" t="s">
        <v>92</v>
      </c>
      <c r="O12" s="7" t="s">
        <v>93</v>
      </c>
    </row>
    <row r="13" spans="1:15">
      <c r="A13" s="8">
        <f>AVERAGE(Table2[LTAS AVG],Table2[FSTI AVG],Table2[RMFS AVG])</f>
        <v>3.83333333333333</v>
      </c>
      <c r="C13" s="8">
        <f>AVERAGE(Table2[fACUTY AVG])</f>
        <v>3.38</v>
      </c>
      <c r="F13" s="8">
        <f>AVERAGEIF(Table2[DEPARTMENT],"MANAGEMENT",Table2[fACUTY AVG])</f>
        <v>3.206</v>
      </c>
      <c r="I13" s="8">
        <f>IFERROR(AVERAGEIF('FACULTY DISTRIBUTION AVG'!$D:$D,"semester-IV",'FACULTY DISTRIBUTION AVG'!$C:$C),0)</f>
        <v>0</v>
      </c>
      <c r="K13" s="8">
        <f>COUNTIF(Table2[Type],"POSITIVE")/COUNTIF(Table2[Type],"NEGITIVE")</f>
        <v>10</v>
      </c>
      <c r="M13" cm="1">
        <f t="array" ref="M13:M23">RANK(Table2[fACUTY AVG],Table2[fACUTY AVG])</f>
        <v>3</v>
      </c>
      <c r="O13" s="8">
        <f>_xlfn.STDEV.P(Table2[fACUTY AVG],Table2[LTAS AVG],Table2[FSTI AVG],Table2[RMFS AVG])</f>
        <v>0.837596670133174</v>
      </c>
    </row>
    <row r="14" spans="1:15">
      <c r="C14">
        <f>AVERAGE(Table2[LTAS AVG])</f>
        <v>3.59090909090909</v>
      </c>
      <c r="I14">
        <f>AVERAGEIF(Table2[Semester],"semester-III",Table2[fACUTY AVG])</f>
        <v>3.7</v>
      </c>
      <c r="M14">
        <v>4</v>
      </c>
    </row>
    <row r="15" spans="1:15">
      <c r="C15">
        <f>AVERAGE(Table2[FSTI AVG])</f>
        <v>4.27272727272727</v>
      </c>
      <c r="I15" s="8">
        <f>AVERAGEIF(Table2[Semester],"semester-II",Table2[fACUTY AVG])</f>
        <v>2.91666666666667</v>
      </c>
      <c r="M15">
        <v>1</v>
      </c>
    </row>
    <row r="16" spans="1:15">
      <c r="C16">
        <f>AVERAGE(Table2[RMFS AVG])</f>
        <v>3.63636363636364</v>
      </c>
      <c r="I16">
        <f>AVERAGEIF(Table2[Semester],"semester-I",Table2[fACUTY AVG])</f>
        <v>3.65333333333333</v>
      </c>
      <c r="M16">
        <v>1</v>
      </c>
    </row>
    <row r="17" spans="1:13">
      <c r="M17">
        <v>7</v>
      </c>
    </row>
    <row r="18" spans="1:13">
      <c r="M18">
        <v>11</v>
      </c>
    </row>
    <row r="19" spans="1:13">
      <c r="A19" s="2" t="s">
        <v>94</v>
      </c>
      <c r="I19" s="8"/>
      <c r="M19">
        <v>5</v>
      </c>
    </row>
    <row r="20" spans="1:13">
      <c r="M20">
        <v>8</v>
      </c>
    </row>
    <row r="21" spans="1:13">
      <c r="M21">
        <v>6</v>
      </c>
    </row>
    <row r="22" spans="1:13">
      <c r="M22">
        <v>10</v>
      </c>
    </row>
    <row r="23" spans="1:13">
      <c r="M23">
        <v>9</v>
      </c>
    </row>
    <row r="25" spans="1:13">
      <c r="B25" t="s">
        <v>94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4" sqref="F14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ltas avg</vt:lpstr>
      <vt:lpstr>FDA</vt:lpstr>
      <vt:lpstr>FACULTY AVG PERFORMANCE</vt:lpstr>
      <vt:lpstr>department</vt:lpstr>
      <vt:lpstr>semester</vt:lpstr>
      <vt:lpstr>faculty avg</vt:lpstr>
      <vt:lpstr>FACULTY DISTRIBUTION AVG</vt:lpstr>
      <vt:lpstr>kpis dashboardashboard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Mandadi Kavitha</cp:lastModifiedBy>
  <dcterms:created xsi:type="dcterms:W3CDTF">2026-04-14T07:09:00Z</dcterms:created>
  <dcterms:modified xsi:type="dcterms:W3CDTF">2026-04-19T06:58:34Z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8AEE39902965458AA563A964819DDC27_13</vt:lpwstr>
  </property>
</Properties>
</file>